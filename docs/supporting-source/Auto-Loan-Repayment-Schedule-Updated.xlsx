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vin\Downloads\"/>
    </mc:Choice>
  </mc:AlternateContent>
  <xr:revisionPtr revIDLastSave="0" documentId="13_ncr:1_{B0952457-1319-4DA5-BA93-58FFB96FF3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-LEXUS-FAISAL" sheetId="1" r:id="rId1"/>
    <sheet name="REPAYMENT-SCHEDULE" sheetId="2" r:id="rId2"/>
  </sheets>
  <definedNames>
    <definedName name="MLEDGER" localSheetId="0">'MAIN-LEXUS-FAISAL'!$A$59:$F$100</definedName>
    <definedName name="_xlnm.Print_Titles" localSheetId="1">'REPAYMENT-SCHEDULE'!$1:$14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5" i="2" l="1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I16" i="2"/>
  <c r="A16" i="2"/>
  <c r="B9" i="2"/>
  <c r="B8" i="2"/>
  <c r="B7" i="2"/>
  <c r="B6" i="2"/>
  <c r="H5" i="2"/>
  <c r="H8" i="2" s="1"/>
  <c r="E5" i="2"/>
  <c r="B5" i="2"/>
  <c r="E99" i="1"/>
  <c r="F99" i="1" s="1"/>
  <c r="D99" i="1"/>
  <c r="F82" i="1"/>
  <c r="F81" i="1"/>
  <c r="F80" i="1"/>
  <c r="F63" i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D56" i="1"/>
  <c r="D48" i="1"/>
  <c r="F44" i="1"/>
  <c r="E44" i="1"/>
  <c r="D44" i="1"/>
  <c r="D49" i="1" s="1"/>
  <c r="D22" i="1"/>
  <c r="E8" i="2" s="1"/>
  <c r="D20" i="1"/>
  <c r="E7" i="2" s="1"/>
  <c r="G16" i="2" s="1"/>
  <c r="D19" i="1"/>
  <c r="E6" i="2" s="1"/>
  <c r="H11" i="1"/>
  <c r="C16" i="2" s="1"/>
  <c r="G52" i="2" l="1"/>
  <c r="D50" i="1"/>
  <c r="D57" i="1" s="1"/>
  <c r="H12" i="1"/>
  <c r="D23" i="1"/>
  <c r="E9" i="2" l="1"/>
  <c r="D25" i="1"/>
  <c r="H13" i="1"/>
  <c r="C17" i="2"/>
  <c r="I17" i="2" s="1"/>
  <c r="H14" i="1" l="1"/>
  <c r="C18" i="2"/>
  <c r="I18" i="2" s="1"/>
  <c r="I34" i="1"/>
  <c r="I39" i="1"/>
  <c r="I19" i="1"/>
  <c r="I14" i="1"/>
  <c r="I28" i="1"/>
  <c r="I23" i="1"/>
  <c r="I46" i="1"/>
  <c r="I11" i="1"/>
  <c r="I25" i="1"/>
  <c r="I33" i="1"/>
  <c r="I32" i="1"/>
  <c r="I22" i="1"/>
  <c r="I37" i="1"/>
  <c r="I12" i="1"/>
  <c r="I26" i="1"/>
  <c r="I17" i="1"/>
  <c r="I21" i="1"/>
  <c r="I41" i="1"/>
  <c r="H6" i="2"/>
  <c r="I38" i="1"/>
  <c r="I13" i="1"/>
  <c r="I16" i="1"/>
  <c r="I43" i="1"/>
  <c r="I27" i="1"/>
  <c r="I18" i="1"/>
  <c r="I42" i="1"/>
  <c r="I45" i="1"/>
  <c r="I30" i="1"/>
  <c r="I36" i="1"/>
  <c r="I35" i="1"/>
  <c r="I20" i="1"/>
  <c r="I31" i="1"/>
  <c r="I40" i="1"/>
  <c r="I15" i="1"/>
  <c r="I44" i="1"/>
  <c r="I29" i="1"/>
  <c r="I24" i="1"/>
  <c r="H11" i="2" l="1"/>
  <c r="J39" i="1"/>
  <c r="J21" i="1"/>
  <c r="J23" i="1"/>
  <c r="J19" i="1"/>
  <c r="J30" i="1"/>
  <c r="J40" i="1"/>
  <c r="J14" i="1"/>
  <c r="J43" i="1"/>
  <c r="J44" i="1"/>
  <c r="J48" i="1"/>
  <c r="J28" i="1"/>
  <c r="J27" i="1"/>
  <c r="J15" i="1"/>
  <c r="J18" i="1"/>
  <c r="J45" i="1"/>
  <c r="J33" i="1"/>
  <c r="J47" i="1"/>
  <c r="J29" i="1"/>
  <c r="J25" i="1"/>
  <c r="J32" i="1"/>
  <c r="J11" i="1"/>
  <c r="J26" i="1"/>
  <c r="J24" i="1"/>
  <c r="J41" i="1"/>
  <c r="J36" i="1"/>
  <c r="J34" i="1"/>
  <c r="J38" i="1"/>
  <c r="J17" i="1"/>
  <c r="J16" i="1"/>
  <c r="J12" i="1"/>
  <c r="J13" i="1"/>
  <c r="J22" i="1"/>
  <c r="J37" i="1"/>
  <c r="J42" i="1"/>
  <c r="J46" i="1"/>
  <c r="J35" i="1"/>
  <c r="J31" i="1"/>
  <c r="J20" i="1"/>
  <c r="C19" i="2"/>
  <c r="I19" i="2" s="1"/>
  <c r="H15" i="1"/>
  <c r="C20" i="2" l="1"/>
  <c r="I20" i="2" s="1"/>
  <c r="H16" i="1"/>
  <c r="H12" i="2"/>
  <c r="F16" i="2"/>
  <c r="E16" i="2" l="1"/>
  <c r="H17" i="1"/>
  <c r="C21" i="2"/>
  <c r="I21" i="2" s="1"/>
  <c r="H18" i="1" l="1"/>
  <c r="C22" i="2"/>
  <c r="I22" i="2" s="1"/>
  <c r="D16" i="2"/>
  <c r="H16" i="2"/>
  <c r="G17" i="2" s="1"/>
  <c r="F17" i="2" l="1"/>
  <c r="H19" i="1"/>
  <c r="C23" i="2"/>
  <c r="I23" i="2" s="1"/>
  <c r="C24" i="2" l="1"/>
  <c r="I24" i="2" s="1"/>
  <c r="H20" i="1"/>
  <c r="E17" i="2"/>
  <c r="D17" i="2" l="1"/>
  <c r="H17" i="2"/>
  <c r="G18" i="2" s="1"/>
  <c r="H21" i="1"/>
  <c r="C25" i="2"/>
  <c r="I25" i="2" s="1"/>
  <c r="F18" i="2" l="1"/>
  <c r="C26" i="2"/>
  <c r="I26" i="2" s="1"/>
  <c r="H22" i="1"/>
  <c r="H23" i="1" l="1"/>
  <c r="C27" i="2"/>
  <c r="I27" i="2" s="1"/>
  <c r="E18" i="2"/>
  <c r="D18" i="2" l="1"/>
  <c r="H18" i="2"/>
  <c r="G19" i="2" s="1"/>
  <c r="H24" i="1"/>
  <c r="C28" i="2"/>
  <c r="I28" i="2" s="1"/>
  <c r="H25" i="1" l="1"/>
  <c r="C29" i="2"/>
  <c r="I29" i="2" s="1"/>
  <c r="F19" i="2"/>
  <c r="E19" i="2" l="1"/>
  <c r="C30" i="2"/>
  <c r="I30" i="2" s="1"/>
  <c r="H26" i="1"/>
  <c r="H27" i="1" l="1"/>
  <c r="C31" i="2"/>
  <c r="I31" i="2" s="1"/>
  <c r="D19" i="2"/>
  <c r="H19" i="2"/>
  <c r="G20" i="2" s="1"/>
  <c r="F20" i="2" l="1"/>
  <c r="H28" i="1"/>
  <c r="C32" i="2"/>
  <c r="I32" i="2" s="1"/>
  <c r="H29" i="1" l="1"/>
  <c r="C33" i="2"/>
  <c r="I33" i="2" s="1"/>
  <c r="E20" i="2"/>
  <c r="D20" i="2" l="1"/>
  <c r="H20" i="2"/>
  <c r="G21" i="2" s="1"/>
  <c r="C34" i="2"/>
  <c r="I34" i="2" s="1"/>
  <c r="H30" i="1"/>
  <c r="H31" i="1" l="1"/>
  <c r="C35" i="2"/>
  <c r="I35" i="2" s="1"/>
  <c r="F21" i="2"/>
  <c r="E21" i="2" s="1"/>
  <c r="D21" i="2" s="1"/>
  <c r="H21" i="2" l="1"/>
  <c r="G22" i="2" s="1"/>
  <c r="C36" i="2"/>
  <c r="I36" i="2" s="1"/>
  <c r="H32" i="1"/>
  <c r="H33" i="1" l="1"/>
  <c r="C37" i="2"/>
  <c r="I37" i="2" s="1"/>
  <c r="F22" i="2"/>
  <c r="E22" i="2" s="1"/>
  <c r="D22" i="2" s="1"/>
  <c r="H22" i="2" l="1"/>
  <c r="G23" i="2" s="1"/>
  <c r="H34" i="1"/>
  <c r="C38" i="2"/>
  <c r="I38" i="2" s="1"/>
  <c r="H35" i="1" l="1"/>
  <c r="C39" i="2"/>
  <c r="I39" i="2" s="1"/>
  <c r="F23" i="2"/>
  <c r="E23" i="2" s="1"/>
  <c r="D23" i="2" s="1"/>
  <c r="H23" i="2" l="1"/>
  <c r="G24" i="2" s="1"/>
  <c r="C40" i="2"/>
  <c r="I40" i="2" s="1"/>
  <c r="H36" i="1"/>
  <c r="H37" i="1" l="1"/>
  <c r="C41" i="2"/>
  <c r="I41" i="2" s="1"/>
  <c r="F24" i="2"/>
  <c r="E24" i="2" s="1"/>
  <c r="D24" i="2" s="1"/>
  <c r="H24" i="2" l="1"/>
  <c r="G25" i="2" s="1"/>
  <c r="H38" i="1"/>
  <c r="C42" i="2"/>
  <c r="I42" i="2" s="1"/>
  <c r="H39" i="1" l="1"/>
  <c r="C43" i="2"/>
  <c r="I43" i="2" s="1"/>
  <c r="F25" i="2"/>
  <c r="E25" i="2" s="1"/>
  <c r="D25" i="2" s="1"/>
  <c r="H25" i="2" l="1"/>
  <c r="G26" i="2" s="1"/>
  <c r="C44" i="2"/>
  <c r="I44" i="2" s="1"/>
  <c r="H40" i="1"/>
  <c r="H41" i="1" l="1"/>
  <c r="C45" i="2"/>
  <c r="I45" i="2" s="1"/>
  <c r="F26" i="2"/>
  <c r="E26" i="2" s="1"/>
  <c r="D26" i="2" s="1"/>
  <c r="H26" i="2" l="1"/>
  <c r="G27" i="2" s="1"/>
  <c r="C46" i="2"/>
  <c r="I46" i="2" s="1"/>
  <c r="H42" i="1"/>
  <c r="H43" i="1" l="1"/>
  <c r="C47" i="2"/>
  <c r="I47" i="2" s="1"/>
  <c r="F27" i="2"/>
  <c r="E27" i="2" s="1"/>
  <c r="D27" i="2" s="1"/>
  <c r="H27" i="2" l="1"/>
  <c r="H44" i="1"/>
  <c r="C48" i="2"/>
  <c r="I48" i="2" s="1"/>
  <c r="H45" i="1" l="1"/>
  <c r="C49" i="2"/>
  <c r="I49" i="2" s="1"/>
  <c r="C57" i="2"/>
  <c r="G28" i="2"/>
  <c r="F28" i="2" l="1"/>
  <c r="E28" i="2" s="1"/>
  <c r="D28" i="2" s="1"/>
  <c r="H46" i="1"/>
  <c r="C51" i="2" s="1"/>
  <c r="C50" i="2"/>
  <c r="I50" i="2" s="1"/>
  <c r="I51" i="2" l="1"/>
  <c r="H28" i="2"/>
  <c r="G29" i="2" s="1"/>
  <c r="F29" i="2" l="1"/>
  <c r="E29" i="2" s="1"/>
  <c r="D29" i="2" s="1"/>
  <c r="H29" i="2" l="1"/>
  <c r="G30" i="2" s="1"/>
  <c r="F30" i="2" l="1"/>
  <c r="E30" i="2" s="1"/>
  <c r="D30" i="2" s="1"/>
  <c r="H30" i="2" l="1"/>
  <c r="G31" i="2" s="1"/>
  <c r="F31" i="2" l="1"/>
  <c r="E31" i="2" s="1"/>
  <c r="D31" i="2" s="1"/>
  <c r="H31" i="2" l="1"/>
  <c r="G32" i="2" s="1"/>
  <c r="F32" i="2" l="1"/>
  <c r="E32" i="2" s="1"/>
  <c r="D32" i="2" s="1"/>
  <c r="H32" i="2" l="1"/>
  <c r="G33" i="2" s="1"/>
  <c r="F33" i="2" l="1"/>
  <c r="E33" i="2" s="1"/>
  <c r="D33" i="2" s="1"/>
  <c r="H33" i="2" l="1"/>
  <c r="G34" i="2" s="1"/>
  <c r="F34" i="2" l="1"/>
  <c r="E34" i="2" s="1"/>
  <c r="D34" i="2" s="1"/>
  <c r="H34" i="2" l="1"/>
  <c r="G35" i="2" s="1"/>
  <c r="F35" i="2" l="1"/>
  <c r="E35" i="2" s="1"/>
  <c r="D35" i="2" s="1"/>
  <c r="H35" i="2" l="1"/>
  <c r="G36" i="2" s="1"/>
  <c r="F36" i="2" l="1"/>
  <c r="E36" i="2" s="1"/>
  <c r="D36" i="2" s="1"/>
  <c r="H36" i="2" l="1"/>
  <c r="G37" i="2" s="1"/>
  <c r="F37" i="2" l="1"/>
  <c r="E37" i="2" s="1"/>
  <c r="D37" i="2" s="1"/>
  <c r="H37" i="2" l="1"/>
  <c r="G38" i="2" s="1"/>
  <c r="F38" i="2" l="1"/>
  <c r="E38" i="2" s="1"/>
  <c r="D38" i="2" s="1"/>
  <c r="H38" i="2" l="1"/>
  <c r="G39" i="2" s="1"/>
  <c r="F39" i="2" l="1"/>
  <c r="E39" i="2" s="1"/>
  <c r="D39" i="2" s="1"/>
  <c r="H39" i="2" l="1"/>
  <c r="G40" i="2" s="1"/>
  <c r="F40" i="2" l="1"/>
  <c r="E40" i="2" s="1"/>
  <c r="D40" i="2" s="1"/>
  <c r="H40" i="2" l="1"/>
  <c r="G41" i="2" s="1"/>
  <c r="F41" i="2" l="1"/>
  <c r="E41" i="2" s="1"/>
  <c r="D41" i="2" s="1"/>
  <c r="H41" i="2" l="1"/>
  <c r="G42" i="2" s="1"/>
  <c r="F42" i="2"/>
  <c r="E42" i="2" s="1"/>
  <c r="D42" i="2" s="1"/>
  <c r="H42" i="2" l="1"/>
  <c r="G43" i="2" s="1"/>
  <c r="F43" i="2" l="1"/>
  <c r="E43" i="2" s="1"/>
  <c r="D43" i="2" s="1"/>
  <c r="H43" i="2" l="1"/>
  <c r="G44" i="2" s="1"/>
  <c r="F44" i="2" s="1"/>
  <c r="E44" i="2" s="1"/>
  <c r="D44" i="2" s="1"/>
  <c r="H44" i="2" l="1"/>
  <c r="G45" i="2" s="1"/>
  <c r="F45" i="2" l="1"/>
  <c r="E45" i="2" s="1"/>
  <c r="D45" i="2" s="1"/>
  <c r="H45" i="2" l="1"/>
  <c r="G46" i="2" s="1"/>
  <c r="F46" i="2" l="1"/>
  <c r="E46" i="2" s="1"/>
  <c r="D46" i="2" s="1"/>
  <c r="H46" i="2" l="1"/>
  <c r="G47" i="2" s="1"/>
  <c r="F47" i="2" l="1"/>
  <c r="E47" i="2" s="1"/>
  <c r="D47" i="2" s="1"/>
  <c r="H47" i="2" l="1"/>
  <c r="G48" i="2" s="1"/>
  <c r="F48" i="2" l="1"/>
  <c r="E48" i="2" s="1"/>
  <c r="D48" i="2" s="1"/>
  <c r="H48" i="2" l="1"/>
  <c r="G49" i="2" s="1"/>
  <c r="F49" i="2" l="1"/>
  <c r="E49" i="2" s="1"/>
  <c r="D49" i="2" s="1"/>
  <c r="H49" i="2" l="1"/>
  <c r="G50" i="2" s="1"/>
  <c r="F50" i="2" l="1"/>
  <c r="E50" i="2" l="1"/>
  <c r="F51" i="2"/>
  <c r="F52" i="2" s="1"/>
  <c r="D50" i="2" l="1"/>
  <c r="H50" i="2"/>
  <c r="G51" i="2" s="1"/>
  <c r="E51" i="2" l="1"/>
  <c r="D51" i="2" l="1"/>
  <c r="E52" i="2"/>
  <c r="H51" i="2"/>
  <c r="H52" i="2" s="1"/>
  <c r="H9" i="2" l="1"/>
  <c r="C56" i="2" s="1"/>
  <c r="D52" i="2"/>
  <c r="H10" i="2"/>
  <c r="C5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tc={FE6FED85-7877-C6FF-D33D-7D29AD92DBD0}</author>
  </authors>
  <commentList>
    <comment ref="H11" authorId="0" shapeId="0" xr:uid="{00000000-0006-0000-0100-000001000000}">
      <text>
        <r>
          <rPr>
            <sz val="11"/>
            <color theme="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Calculated using Excel RATE from finance principal, monthly instalment, and 36-month tenure. This converts the contract cash flows into an amortization rate for principal/interest allocation.</t>
        </r>
      </text>
    </comment>
  </commentList>
</comments>
</file>

<file path=xl/sharedStrings.xml><?xml version="1.0" encoding="utf-8"?>
<sst xmlns="http://schemas.openxmlformats.org/spreadsheetml/2006/main" count="137" uniqueCount="125">
  <si>
    <t>STAR REGENCY LIMOUSINE TRANSPORTATION VIA LUXURY CARS</t>
  </si>
  <si>
    <t>Hamed Center Building |Ground Floor | Electra St | Abu Dhabi, U.A.E</t>
  </si>
  <si>
    <t>CUSTOMER INFORMATION</t>
  </si>
  <si>
    <t>CUSTOMER NAME</t>
  </si>
  <si>
    <t>MUHAMMAD FAISAL</t>
  </si>
  <si>
    <t>*</t>
  </si>
  <si>
    <t>CONTACT NO</t>
  </si>
  <si>
    <t>+971 56 736 8995</t>
  </si>
  <si>
    <t>EID NO</t>
  </si>
  <si>
    <t>784-1994-2162004-2</t>
  </si>
  <si>
    <t>EMI BREAKDOWN SCHEDULE</t>
  </si>
  <si>
    <t>VEHICLE INFORMATION</t>
  </si>
  <si>
    <t>VEHICLE NAME</t>
  </si>
  <si>
    <t>LEXUS ES300H</t>
  </si>
  <si>
    <t>EMINO</t>
  </si>
  <si>
    <t>MONTH</t>
  </si>
  <si>
    <t>AMOUNT</t>
  </si>
  <si>
    <t>BALANCE AMT</t>
  </si>
  <si>
    <t>CHASIS NO</t>
  </si>
  <si>
    <t>JTHB21B16S2265896</t>
  </si>
  <si>
    <t>ENGINE NO</t>
  </si>
  <si>
    <t>3E71377</t>
  </si>
  <si>
    <t>PURCH DT</t>
  </si>
  <si>
    <t>MAKE / COLOR</t>
  </si>
  <si>
    <t>WHITE / PEARLS</t>
  </si>
  <si>
    <t>DOWN PAYMENT / EMI</t>
  </si>
  <si>
    <t>VEHICLE COST (AED)</t>
  </si>
  <si>
    <t>DOWN PAYMENT(%)</t>
  </si>
  <si>
    <t>DOWN PAYMENT AMT</t>
  </si>
  <si>
    <t>BALANCE A/DP AMT</t>
  </si>
  <si>
    <t>INTEREST RATE</t>
  </si>
  <si>
    <t>/ Year</t>
  </si>
  <si>
    <t>INTEREST PAYABLE</t>
  </si>
  <si>
    <t>TOTAL PAYABLE FOR EMI</t>
  </si>
  <si>
    <t>NO OF EMI</t>
  </si>
  <si>
    <t>3 Years</t>
  </si>
  <si>
    <t>EMI AMT</t>
  </si>
  <si>
    <t>Monthly Installment</t>
  </si>
  <si>
    <t>INITIAL EXPENSES</t>
  </si>
  <si>
    <t>PARTICULARS</t>
  </si>
  <si>
    <t>YEAR-1</t>
  </si>
  <si>
    <t>YEAR-2</t>
  </si>
  <si>
    <t>YEAR-3</t>
  </si>
  <si>
    <t>BANK PROCESSING FEE</t>
  </si>
  <si>
    <t>TRANS PERMIT 1 YR</t>
  </si>
  <si>
    <t>TRANS PERMIT CARD 2 YRS</t>
  </si>
  <si>
    <t>GPRS TRACKING FEE</t>
  </si>
  <si>
    <t>FLEET INSURANCE FEE</t>
  </si>
  <si>
    <t>VEHICLE REGISTRATION FEE</t>
  </si>
  <si>
    <t>DARB NEW A/C ACTIVATION FEE</t>
  </si>
  <si>
    <t>KAFALATH EXPENSE</t>
  </si>
  <si>
    <t>VISA EXPENSES</t>
  </si>
  <si>
    <t>DEPOSIT - SALARY ADVANCE(REFUNDABLE)</t>
  </si>
  <si>
    <t>TOTAL INITIAL EXPENSES</t>
  </si>
  <si>
    <t>INITIAL PAYABLE DETAIL</t>
  </si>
  <si>
    <t>DOWN PAYMENT</t>
  </si>
  <si>
    <t>TOTAL PAYABLE @ INITIAL PURCHASE</t>
  </si>
  <si>
    <t>PMT ADCB-LIMOUSINE 15-02-2025</t>
  </si>
  <si>
    <t>PMT ADCB-LIMOUSINE 18-04-2025</t>
  </si>
  <si>
    <t>PMT RECVD</t>
  </si>
  <si>
    <t>DUES ON INITIAL SETTLEMENT</t>
  </si>
  <si>
    <t>EMI START DATE</t>
  </si>
  <si>
    <t>CUSTOMER'S STATEMENT</t>
  </si>
  <si>
    <t>MONTHLY RECURRING INCOME / EXPENSES TRANSACTIONS</t>
  </si>
  <si>
    <t>SN#</t>
  </si>
  <si>
    <t>TRN DATE</t>
  </si>
  <si>
    <t>DEBIT</t>
  </si>
  <si>
    <t>CREDIT</t>
  </si>
  <si>
    <t>BALANCE</t>
  </si>
  <si>
    <t>CAREEM - MAR-W3</t>
  </si>
  <si>
    <t>UBER - MAR-W3</t>
  </si>
  <si>
    <t>CAREEM - MAR-W4</t>
  </si>
  <si>
    <t>UBER - MAR-W4</t>
  </si>
  <si>
    <t>SALIK - DXB - MAR - 18 TRIPS</t>
  </si>
  <si>
    <t>TOLL - AUH - MAR - 11 TRIPS</t>
  </si>
  <si>
    <t>CAREEM - APR-W1</t>
  </si>
  <si>
    <t>UBER - APR-W1</t>
  </si>
  <si>
    <t>CAREEM - APR-W2</t>
  </si>
  <si>
    <t>UBER - APR-W2</t>
  </si>
  <si>
    <t>LIMOUSINE DRIVER BADGE</t>
  </si>
  <si>
    <t>CAREEM - APR-W3</t>
  </si>
  <si>
    <t>UBER - APR-W3</t>
  </si>
  <si>
    <t>CAREEM - APR-W4</t>
  </si>
  <si>
    <t>UBER - APR-W4</t>
  </si>
  <si>
    <t>EMI - PMT - 2025-MAY</t>
  </si>
  <si>
    <t>PMT AGAINST INITIAL DUES</t>
  </si>
  <si>
    <t>ACCOUNT TOTAL</t>
  </si>
  <si>
    <t>AUTO LOAN REPAYMENT SCHEDULE</t>
  </si>
  <si>
    <t>Prepared in repayment-schedule format | Currency: AED</t>
  </si>
  <si>
    <t>Customer Name</t>
  </si>
  <si>
    <t>Vehicle Cost</t>
  </si>
  <si>
    <t>Loan Tenure (Months)</t>
  </si>
  <si>
    <t>Contact No.</t>
  </si>
  <si>
    <t>Down Payment</t>
  </si>
  <si>
    <t>Monthly Instalment</t>
  </si>
  <si>
    <t>Vehicle</t>
  </si>
  <si>
    <t>Finance Principal</t>
  </si>
  <si>
    <t>Instalments Paid</t>
  </si>
  <si>
    <t>Chassis No.</t>
  </si>
  <si>
    <t>Total Interest</t>
  </si>
  <si>
    <t>Instalments Remaining</t>
  </si>
  <si>
    <t>EMI Start Date</t>
  </si>
  <si>
    <t>Total Contract Value</t>
  </si>
  <si>
    <t>Paid to Date</t>
  </si>
  <si>
    <t>Remaining Instalments</t>
  </si>
  <si>
    <t>Monthly Effective Rate</t>
  </si>
  <si>
    <t>Effective Annual Rate</t>
  </si>
  <si>
    <t>REPAYMENT SCHEDULE REPORT</t>
  </si>
  <si>
    <t>Status</t>
  </si>
  <si>
    <t>Instl No</t>
  </si>
  <si>
    <t>Due Date</t>
  </si>
  <si>
    <t>Installment Amt</t>
  </si>
  <si>
    <t>Principal Comp.</t>
  </si>
  <si>
    <t>Interest Comp.</t>
  </si>
  <si>
    <t>Opening Principal</t>
  </si>
  <si>
    <t>Closing Principal</t>
  </si>
  <si>
    <t>DAYS</t>
  </si>
  <si>
    <t>Adv Flag</t>
  </si>
  <si>
    <t>TOTAL / CLOSING</t>
  </si>
  <si>
    <t>POSITION AFTER 12 PAID INSTALMENTS</t>
  </si>
  <si>
    <t>Paid instalments</t>
  </si>
  <si>
    <t>Note: Outstanding principal is the amortized finance principal after 12 instalments; remaining contractual instalments include future interest.</t>
  </si>
  <si>
    <t>Total cash instalments paid</t>
  </si>
  <si>
    <t>Outstanding principal</t>
  </si>
  <si>
    <t>Remaining contractual instalments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</si>
</sst>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dd/mm/yyyy"/>
    <numFmt numFmtId="167" formatCode="#,##0.00;[Red]\(#,##0.00\);\-"/>
  </numFmts>
  <fonts count="23" x14ac:knownFonts="1">
    <font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9"/>
      <color theme="1"/>
      <name val="Calibri"/>
    </font>
    <font>
      <sz val="11"/>
      <color rgb="FFC00000"/>
      <name val="Calibri"/>
    </font>
    <font>
      <b/>
      <sz val="14"/>
      <color theme="1"/>
      <name val="Calibri"/>
    </font>
    <font>
      <b/>
      <sz val="9"/>
      <color theme="1"/>
      <name val="Aptos"/>
    </font>
    <font>
      <sz val="9"/>
      <color theme="1"/>
      <name val="Aptos"/>
    </font>
    <font>
      <b/>
      <sz val="9"/>
      <color theme="1"/>
      <name val="Calibri"/>
    </font>
    <font>
      <sz val="9"/>
      <color rgb="FF111827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i/>
      <sz val="9"/>
      <color rgb="FF475569"/>
      <name val="Arial"/>
    </font>
    <font>
      <b/>
      <sz val="9"/>
      <color rgb="FF111827"/>
      <name val="Arial"/>
    </font>
    <font>
      <sz val="9"/>
      <color rgb="FF008000"/>
      <name val="Arial"/>
    </font>
    <font>
      <b/>
      <sz val="9"/>
      <color rgb="FF0000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8"/>
      <color rgb="FF111827"/>
      <name val="Arial"/>
    </font>
    <font>
      <i/>
      <sz val="8"/>
      <color rgb="FF475569"/>
      <name val="Arial"/>
    </font>
    <font>
      <b/>
      <sz val="9"/>
      <color rgb="FF166534"/>
      <name val="Arial"/>
    </font>
    <font>
      <sz val="9"/>
      <color rgb="FF854D0E"/>
      <name val="Arial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rgb="FFFFFF0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FFFFFF"/>
      </patternFill>
    </fill>
    <fill>
      <patternFill patternType="solid">
        <fgColor rgb="FF111827"/>
      </patternFill>
    </fill>
    <fill>
      <patternFill patternType="solid">
        <fgColor rgb="FF1F4E78"/>
      </patternFill>
    </fill>
    <fill>
      <patternFill patternType="solid">
        <fgColor rgb="FFE2E8F0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E2F0D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334155"/>
      </left>
      <right style="medium">
        <color rgb="FF334155"/>
      </right>
      <top style="medium">
        <color rgb="FF334155"/>
      </top>
      <bottom style="medium">
        <color rgb="FF334155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0" fillId="4" borderId="3" xfId="0" applyFill="1" applyBorder="1" applyAlignment="1">
      <alignment horizontal="center" vertical="center"/>
    </xf>
    <xf numFmtId="14" fontId="0" fillId="0" borderId="1" xfId="0" applyNumberFormat="1" applyBorder="1"/>
    <xf numFmtId="165" fontId="0" fillId="0" borderId="1" xfId="1" applyNumberFormat="1" applyFont="1" applyBorder="1" applyAlignment="1">
      <alignment horizontal="center"/>
    </xf>
    <xf numFmtId="164" fontId="0" fillId="0" borderId="1" xfId="0" applyNumberFormat="1" applyBorder="1"/>
    <xf numFmtId="11" fontId="0" fillId="0" borderId="2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164" fontId="0" fillId="0" borderId="1" xfId="1" applyFont="1" applyBorder="1"/>
    <xf numFmtId="164" fontId="0" fillId="0" borderId="0" xfId="0" applyNumberFormat="1"/>
    <xf numFmtId="165" fontId="0" fillId="0" borderId="1" xfId="1" applyNumberFormat="1" applyFont="1" applyBorder="1"/>
    <xf numFmtId="165" fontId="0" fillId="0" borderId="0" xfId="0" applyNumberFormat="1"/>
    <xf numFmtId="0" fontId="0" fillId="5" borderId="1" xfId="0" applyFill="1" applyBorder="1"/>
    <xf numFmtId="164" fontId="0" fillId="5" borderId="1" xfId="1" applyFont="1" applyFill="1" applyBorder="1"/>
    <xf numFmtId="10" fontId="0" fillId="0" borderId="1" xfId="1" applyNumberFormat="1" applyFont="1" applyBorder="1"/>
    <xf numFmtId="14" fontId="3" fillId="0" borderId="1" xfId="0" applyNumberFormat="1" applyFont="1" applyBorder="1"/>
    <xf numFmtId="165" fontId="3" fillId="0" borderId="1" xfId="1" applyNumberFormat="1" applyFont="1" applyBorder="1" applyAlignment="1">
      <alignment horizontal="center"/>
    </xf>
    <xf numFmtId="164" fontId="3" fillId="0" borderId="1" xfId="0" applyNumberFormat="1" applyFont="1" applyBorder="1"/>
    <xf numFmtId="0" fontId="0" fillId="0" borderId="3" xfId="0" applyBorder="1" applyAlignment="1">
      <alignment horizontal="center" vertical="center"/>
    </xf>
    <xf numFmtId="0" fontId="0" fillId="6" borderId="1" xfId="0" applyFill="1" applyBorder="1"/>
    <xf numFmtId="164" fontId="0" fillId="6" borderId="1" xfId="1" applyFont="1" applyFill="1" applyBorder="1"/>
    <xf numFmtId="165" fontId="3" fillId="0" borderId="0" xfId="1" applyNumberFormat="1" applyFont="1" applyBorder="1"/>
    <xf numFmtId="0" fontId="2" fillId="2" borderId="1" xfId="0" applyFont="1" applyFill="1" applyBorder="1"/>
    <xf numFmtId="0" fontId="0" fillId="0" borderId="4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3" fillId="0" borderId="1" xfId="1" applyNumberFormat="1" applyFont="1" applyBorder="1"/>
    <xf numFmtId="165" fontId="1" fillId="0" borderId="1" xfId="1" applyNumberFormat="1" applyFont="1" applyBorder="1"/>
    <xf numFmtId="165" fontId="1" fillId="0" borderId="1" xfId="1" applyNumberFormat="1" applyFont="1" applyBorder="1" applyAlignment="1">
      <alignment horizontal="right"/>
    </xf>
    <xf numFmtId="165" fontId="0" fillId="0" borderId="1" xfId="1" applyNumberFormat="1" applyFont="1" applyBorder="1" applyAlignment="1">
      <alignment horizontal="right"/>
    </xf>
    <xf numFmtId="0" fontId="0" fillId="0" borderId="5" xfId="0" applyBorder="1"/>
    <xf numFmtId="165" fontId="0" fillId="0" borderId="0" xfId="1" applyNumberFormat="1" applyFont="1" applyBorder="1"/>
    <xf numFmtId="17" fontId="0" fillId="0" borderId="1" xfId="0" applyNumberFormat="1" applyBorder="1"/>
    <xf numFmtId="0" fontId="3" fillId="3" borderId="1" xfId="0" applyFont="1" applyFill="1" applyBorder="1"/>
    <xf numFmtId="0" fontId="5" fillId="3" borderId="1" xfId="0" applyFont="1" applyFill="1" applyBorder="1"/>
    <xf numFmtId="14" fontId="5" fillId="0" borderId="1" xfId="1" applyNumberFormat="1" applyFont="1" applyBorder="1"/>
    <xf numFmtId="165" fontId="0" fillId="0" borderId="0" xfId="1" applyNumberFormat="1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/>
    <xf numFmtId="164" fontId="8" fillId="0" borderId="6" xfId="1" applyFont="1" applyBorder="1"/>
    <xf numFmtId="164" fontId="8" fillId="0" borderId="6" xfId="0" applyNumberFormat="1" applyFont="1" applyBorder="1"/>
    <xf numFmtId="0" fontId="8" fillId="0" borderId="7" xfId="0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0" fontId="8" fillId="0" borderId="7" xfId="0" applyFont="1" applyBorder="1"/>
    <xf numFmtId="164" fontId="8" fillId="0" borderId="7" xfId="1" applyFont="1" applyBorder="1"/>
    <xf numFmtId="164" fontId="8" fillId="0" borderId="7" xfId="0" applyNumberFormat="1" applyFont="1" applyBorder="1"/>
    <xf numFmtId="0" fontId="8" fillId="0" borderId="8" xfId="0" applyFont="1" applyBorder="1" applyAlignment="1">
      <alignment horizontal="center" vertical="center"/>
    </xf>
    <xf numFmtId="0" fontId="8" fillId="0" borderId="8" xfId="0" applyFont="1" applyBorder="1"/>
    <xf numFmtId="164" fontId="8" fillId="0" borderId="8" xfId="1" applyFont="1" applyBorder="1"/>
    <xf numFmtId="164" fontId="8" fillId="0" borderId="8" xfId="0" applyNumberFormat="1" applyFont="1" applyBorder="1"/>
    <xf numFmtId="0" fontId="9" fillId="3" borderId="1" xfId="0" applyFont="1" applyFill="1" applyBorder="1"/>
    <xf numFmtId="164" fontId="4" fillId="3" borderId="1" xfId="0" applyNumberFormat="1" applyFont="1" applyFill="1" applyBorder="1"/>
    <xf numFmtId="0" fontId="10" fillId="7" borderId="0" xfId="0" applyFont="1" applyFill="1" applyAlignment="1">
      <alignment vertical="center"/>
    </xf>
    <xf numFmtId="0" fontId="14" fillId="10" borderId="9" xfId="0" applyFont="1" applyFill="1" applyBorder="1" applyAlignment="1">
      <alignment vertical="center"/>
    </xf>
    <xf numFmtId="0" fontId="14" fillId="12" borderId="10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vertical="center"/>
    </xf>
    <xf numFmtId="0" fontId="18" fillId="9" borderId="0" xfId="0" applyFont="1" applyFill="1" applyAlignment="1">
      <alignment horizontal="left" vertical="center"/>
    </xf>
    <xf numFmtId="0" fontId="21" fillId="14" borderId="9" xfId="0" applyFont="1" applyFill="1" applyBorder="1" applyAlignment="1">
      <alignment horizontal="center" vertical="center"/>
    </xf>
    <xf numFmtId="0" fontId="22" fillId="11" borderId="9" xfId="0" applyFont="1" applyFill="1" applyBorder="1" applyAlignment="1">
      <alignment horizontal="center" vertical="center"/>
    </xf>
    <xf numFmtId="166" fontId="10" fillId="7" borderId="9" xfId="0" applyNumberFormat="1" applyFont="1" applyFill="1" applyBorder="1" applyAlignment="1">
      <alignment horizontal="center" vertical="center"/>
    </xf>
    <xf numFmtId="1" fontId="10" fillId="7" borderId="9" xfId="0" applyNumberFormat="1" applyFont="1" applyFill="1" applyBorder="1" applyAlignment="1">
      <alignment horizontal="center" vertical="center"/>
    </xf>
    <xf numFmtId="167" fontId="10" fillId="7" borderId="0" xfId="0" applyNumberFormat="1" applyFont="1" applyFill="1" applyAlignment="1">
      <alignment vertical="center"/>
    </xf>
    <xf numFmtId="167" fontId="10" fillId="7" borderId="9" xfId="0" applyNumberFormat="1" applyFont="1" applyFill="1" applyBorder="1" applyAlignment="1">
      <alignment horizontal="right" vertical="center"/>
    </xf>
    <xf numFmtId="167" fontId="14" fillId="10" borderId="10" xfId="0" applyNumberFormat="1" applyFont="1" applyFill="1" applyBorder="1" applyAlignment="1">
      <alignment horizontal="right" vertical="center"/>
    </xf>
    <xf numFmtId="167" fontId="14" fillId="7" borderId="9" xfId="0" applyNumberFormat="1" applyFont="1" applyFill="1" applyBorder="1" applyAlignment="1">
      <alignment horizontal="right" vertical="center"/>
    </xf>
    <xf numFmtId="10" fontId="10" fillId="7" borderId="0" xfId="0" applyNumberFormat="1" applyFont="1" applyFill="1" applyAlignment="1">
      <alignment vertical="center"/>
    </xf>
    <xf numFmtId="1" fontId="10" fillId="7" borderId="0" xfId="0" applyNumberFormat="1" applyFont="1" applyFill="1" applyAlignment="1">
      <alignment vertical="center"/>
    </xf>
    <xf numFmtId="1" fontId="16" fillId="11" borderId="9" xfId="0" applyNumberFormat="1" applyFont="1" applyFill="1" applyBorder="1" applyAlignment="1">
      <alignment vertical="center"/>
    </xf>
    <xf numFmtId="1" fontId="14" fillId="7" borderId="9" xfId="0" applyNumberFormat="1" applyFont="1" applyFill="1" applyBorder="1" applyAlignment="1">
      <alignment horizontal="right" vertical="center"/>
    </xf>
    <xf numFmtId="0" fontId="11" fillId="8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5" fillId="7" borderId="9" xfId="0" applyFont="1" applyFill="1" applyBorder="1" applyAlignment="1">
      <alignment vertical="center"/>
    </xf>
    <xf numFmtId="0" fontId="10" fillId="7" borderId="0" xfId="0" applyFont="1" applyFill="1" applyAlignment="1">
      <alignment vertical="center"/>
    </xf>
    <xf numFmtId="0" fontId="17" fillId="9" borderId="0" xfId="0" applyFont="1" applyFill="1" applyAlignment="1">
      <alignment horizontal="center" vertical="center"/>
    </xf>
    <xf numFmtId="0" fontId="14" fillId="10" borderId="10" xfId="0" applyFont="1" applyFill="1" applyBorder="1" applyAlignment="1">
      <alignment vertical="center"/>
    </xf>
    <xf numFmtId="0" fontId="18" fillId="9" borderId="0" xfId="0" applyFont="1" applyFill="1" applyAlignment="1">
      <alignment horizontal="left" vertical="center"/>
    </xf>
    <xf numFmtId="0" fontId="19" fillId="10" borderId="9" xfId="0" applyFont="1" applyFill="1" applyBorder="1" applyAlignment="1">
      <alignment vertical="center"/>
    </xf>
    <xf numFmtId="0" fontId="20" fillId="13" borderId="11" xfId="0" applyFont="1" applyFill="1" applyBorder="1" applyAlignment="1">
      <alignment vertical="top" wrapText="1"/>
    </xf>
    <xf numFmtId="0" fontId="20" fillId="13" borderId="12" xfId="0" applyFont="1" applyFill="1" applyBorder="1" applyAlignment="1">
      <alignment vertical="top" wrapText="1"/>
    </xf>
    <xf numFmtId="0" fontId="20" fillId="13" borderId="13" xfId="0" applyFont="1" applyFill="1" applyBorder="1" applyAlignment="1">
      <alignment vertical="top" wrapText="1"/>
    </xf>
    <xf numFmtId="0" fontId="20" fillId="13" borderId="14" xfId="0" applyFont="1" applyFill="1" applyBorder="1" applyAlignment="1">
      <alignment vertical="top" wrapText="1"/>
    </xf>
    <xf numFmtId="0" fontId="20" fillId="13" borderId="0" xfId="0" applyFont="1" applyFill="1" applyAlignment="1">
      <alignment vertical="top" wrapText="1"/>
    </xf>
    <xf numFmtId="0" fontId="20" fillId="13" borderId="15" xfId="0" applyFont="1" applyFill="1" applyBorder="1" applyAlignment="1">
      <alignment vertical="top" wrapText="1"/>
    </xf>
    <xf numFmtId="0" fontId="20" fillId="13" borderId="16" xfId="0" applyFont="1" applyFill="1" applyBorder="1" applyAlignment="1">
      <alignment vertical="top" wrapText="1"/>
    </xf>
    <xf numFmtId="0" fontId="20" fillId="13" borderId="17" xfId="0" applyFont="1" applyFill="1" applyBorder="1" applyAlignment="1">
      <alignment vertical="top" wrapText="1"/>
    </xf>
    <xf numFmtId="0" fontId="20" fillId="13" borderId="18" xfId="0" applyFont="1" applyFill="1" applyBorder="1" applyAlignment="1">
      <alignment vertical="top" wrapText="1"/>
    </xf>
    <xf numFmtId="166" fontId="15" fillId="7" borderId="9" xfId="0" applyNumberFormat="1" applyFont="1" applyFill="1" applyBorder="1" applyAlignment="1">
      <alignment horizontal="left" vertical="center"/>
    </xf>
    <xf numFmtId="0" fontId="10" fillId="7" borderId="0" xfId="0" applyFont="1" applyFill="1" applyAlignment="1">
      <alignment horizontal="left" vertical="center"/>
    </xf>
  </cellXfs>
  <cellStyles count="2">
    <cellStyle name="Comma" xfId="1" xr:uid="{00000000-0005-0000-0000-000000000000}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b8f4836808e34b11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65942</xdr:rowOff>
    </xdr:from>
    <xdr:to>
      <xdr:col>2</xdr:col>
      <xdr:colOff>0</xdr:colOff>
      <xdr:row>25</xdr:row>
      <xdr:rowOff>7327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28575" y="446942"/>
          <a:ext cx="1047750" cy="4208585"/>
        </a:xfrm>
        <a:prstGeom prst="rect">
          <a:avLst/>
        </a:prstGeom>
        <a:solidFill>
          <a:schemeClr val="lt1"/>
        </a:solidFill>
        <a:ln w="9525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anchor="ctr"/>
        <a:lstStyle/>
        <a:p>
          <a:pPr marL="0" indent="0" algn="ctr">
            <a:lnSpc>
              <a:spcPct val="100000"/>
            </a:lnSpc>
            <a:buNone/>
          </a:pPr>
          <a:r>
            <a:rPr sz="1400" b="1">
              <a:solidFill>
                <a:srgbClr val="00B0F0"/>
              </a:solidFill>
            </a:rPr>
            <a:t>STATEMENT </a:t>
          </a:r>
          <a:endParaRPr/>
        </a:p>
        <a:p>
          <a:pPr marL="0" indent="0" algn="ctr">
            <a:lnSpc>
              <a:spcPct val="100000"/>
            </a:lnSpc>
            <a:buNone/>
          </a:pPr>
          <a:endParaRPr/>
        </a:p>
        <a:p>
          <a:pPr marL="0" indent="0" algn="ctr">
            <a:lnSpc>
              <a:spcPct val="100000"/>
            </a:lnSpc>
            <a:buNone/>
          </a:pPr>
          <a:r>
            <a:rPr sz="1400" b="1">
              <a:solidFill>
                <a:srgbClr val="00B0F0"/>
              </a:solidFill>
            </a:rPr>
            <a:t>OF</a:t>
          </a:r>
          <a:endParaRPr/>
        </a:p>
        <a:p>
          <a:pPr marL="0" indent="0" algn="ctr">
            <a:lnSpc>
              <a:spcPct val="100000"/>
            </a:lnSpc>
            <a:buNone/>
          </a:pPr>
          <a:endParaRPr/>
        </a:p>
        <a:p>
          <a:pPr marL="0" indent="0" algn="ctr">
            <a:lnSpc>
              <a:spcPct val="100000"/>
            </a:lnSpc>
            <a:buNone/>
          </a:pPr>
          <a:r>
            <a:rPr sz="1400" b="1">
              <a:solidFill>
                <a:srgbClr val="00B0F0"/>
              </a:solidFill>
              <a:latin typeface="+mn-lt"/>
              <a:ea typeface="+mn-lt"/>
              <a:cs typeface="+mn-lt"/>
            </a:rPr>
            <a:t>VEHICLE </a:t>
          </a:r>
          <a:endParaRPr/>
        </a:p>
        <a:p>
          <a:pPr marL="0" indent="0" algn="ctr">
            <a:lnSpc>
              <a:spcPct val="100000"/>
            </a:lnSpc>
            <a:buNone/>
          </a:pPr>
          <a:endParaRPr/>
        </a:p>
        <a:p>
          <a:pPr marL="0" indent="0" algn="ctr">
            <a:lnSpc>
              <a:spcPct val="100000"/>
            </a:lnSpc>
            <a:buNone/>
          </a:pPr>
          <a:r>
            <a:rPr sz="1400" b="1">
              <a:solidFill>
                <a:srgbClr val="00B0F0"/>
              </a:solidFill>
              <a:latin typeface="+mn-lt"/>
              <a:ea typeface="+mn-lt"/>
              <a:cs typeface="+mn-lt"/>
            </a:rPr>
            <a:t>EMI</a:t>
          </a:r>
          <a:endParaRPr/>
        </a:p>
        <a:p>
          <a:pPr algn="ctr">
            <a:buNone/>
          </a:pPr>
          <a:endParaRPr/>
        </a:p>
        <a:p>
          <a:pPr algn="ctr">
            <a:buNone/>
          </a:pPr>
          <a:r>
            <a:rPr sz="1400" b="1">
              <a:solidFill>
                <a:srgbClr val="00B0F0"/>
              </a:solidFill>
            </a:rPr>
            <a:t>@</a:t>
          </a:r>
          <a:endParaRPr/>
        </a:p>
        <a:p>
          <a:pPr algn="ctr">
            <a:buNone/>
          </a:pPr>
          <a:r>
            <a:rPr sz="1400" b="1">
              <a:solidFill>
                <a:srgbClr val="00B0F0"/>
              </a:solidFill>
            </a:rPr>
            <a:t>13-12053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581025</xdr:colOff>
      <xdr:row>39</xdr:row>
      <xdr:rowOff>209550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CD65B2D6-3A64-EF96-C2A5-7F143FE8DD8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Govind Bhandari" id="{04A4B47A-AF89-4309-A1EC-3845E3850646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H11" dT="2026-07-14T11:26:16.132" personId="{04A4B47A-AF89-4309-A1EC-3845E3850646}" id="{FE6FED85-7877-C6FF-D33D-7D29AD92DBD0}">
    <xltc:text>Calculated using Excel RATE from finance principal, monthly instalment, and 36-month tenure. This converts the contract cash flows into an amortization rate for principal/interest allocation.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c3ddb2dfceab4fc1" Type="http://schemas.microsoft.com/office/2017/10/relationships/threadedComment" Target="../threadedcomments/threadedcomment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showGridLines="0" tabSelected="1" topLeftCell="A4" workbookViewId="0">
      <selection activeCell="D17" sqref="D17"/>
    </sheetView>
  </sheetViews>
  <sheetFormatPr defaultRowHeight="15" x14ac:dyDescent="0.25"/>
  <cols>
    <col min="1" max="1" width="4.42578125" customWidth="1"/>
    <col min="2" max="2" width="11.7109375" customWidth="1"/>
    <col min="3" max="3" width="35.28515625" customWidth="1"/>
    <col min="4" max="4" width="14.42578125" customWidth="1"/>
    <col min="5" max="5" width="13.5703125" customWidth="1"/>
    <col min="6" max="6" width="12.42578125" customWidth="1"/>
    <col min="8" max="8" width="14.42578125" customWidth="1"/>
    <col min="9" max="9" width="10.28515625" customWidth="1"/>
    <col min="10" max="10" width="15.7109375" customWidth="1"/>
  </cols>
  <sheetData>
    <row r="1" spans="1:10" x14ac:dyDescent="0.25">
      <c r="A1" s="1" t="s">
        <v>0</v>
      </c>
    </row>
    <row r="2" spans="1:10" x14ac:dyDescent="0.25">
      <c r="A2" s="2" t="s">
        <v>1</v>
      </c>
    </row>
    <row r="3" spans="1:10" ht="6" customHeight="1" x14ac:dyDescent="0.25">
      <c r="A3" s="2"/>
      <c r="B3" s="2"/>
      <c r="C3" s="2"/>
      <c r="D3" s="2"/>
      <c r="E3" s="2"/>
      <c r="F3" s="2"/>
      <c r="G3" s="2"/>
      <c r="H3" s="2"/>
      <c r="I3" s="2"/>
    </row>
    <row r="4" spans="1:10" x14ac:dyDescent="0.25">
      <c r="C4" s="3" t="s">
        <v>2</v>
      </c>
    </row>
    <row r="5" spans="1:10" x14ac:dyDescent="0.25">
      <c r="C5" s="4" t="s">
        <v>3</v>
      </c>
      <c r="D5" s="5" t="s">
        <v>4</v>
      </c>
      <c r="E5" s="5"/>
      <c r="F5" t="s">
        <v>5</v>
      </c>
    </row>
    <row r="6" spans="1:10" x14ac:dyDescent="0.25">
      <c r="C6" s="4" t="s">
        <v>6</v>
      </c>
      <c r="D6" s="6" t="s">
        <v>7</v>
      </c>
      <c r="E6" s="7"/>
      <c r="F6" t="s">
        <v>5</v>
      </c>
    </row>
    <row r="7" spans="1:10" x14ac:dyDescent="0.25">
      <c r="C7" s="4" t="s">
        <v>8</v>
      </c>
      <c r="D7" s="6" t="s">
        <v>9</v>
      </c>
      <c r="E7" s="7"/>
      <c r="F7" t="s">
        <v>5</v>
      </c>
    </row>
    <row r="8" spans="1:10" x14ac:dyDescent="0.25">
      <c r="G8" s="1" t="s">
        <v>10</v>
      </c>
    </row>
    <row r="9" spans="1:10" x14ac:dyDescent="0.25">
      <c r="C9" s="3" t="s">
        <v>11</v>
      </c>
      <c r="G9" s="1"/>
    </row>
    <row r="10" spans="1:10" x14ac:dyDescent="0.25">
      <c r="C10" s="4" t="s">
        <v>12</v>
      </c>
      <c r="D10" s="8" t="s">
        <v>13</v>
      </c>
      <c r="E10" s="7"/>
      <c r="F10" t="s">
        <v>5</v>
      </c>
      <c r="G10" s="9" t="s">
        <v>14</v>
      </c>
      <c r="H10" s="10" t="s">
        <v>15</v>
      </c>
      <c r="I10" s="11" t="s">
        <v>16</v>
      </c>
      <c r="J10" s="11" t="s">
        <v>17</v>
      </c>
    </row>
    <row r="11" spans="1:10" x14ac:dyDescent="0.25">
      <c r="C11" s="4" t="s">
        <v>18</v>
      </c>
      <c r="D11" s="8" t="s">
        <v>19</v>
      </c>
      <c r="E11" s="7"/>
      <c r="F11" t="s">
        <v>5</v>
      </c>
      <c r="G11" s="12">
        <v>1</v>
      </c>
      <c r="H11" s="13">
        <f>D58</f>
        <v>45870</v>
      </c>
      <c r="I11" s="14">
        <f>$D$25</f>
        <v>4706</v>
      </c>
      <c r="J11" s="15">
        <f>D23-I11</f>
        <v>164710</v>
      </c>
    </row>
    <row r="12" spans="1:10" x14ac:dyDescent="0.25">
      <c r="C12" s="4" t="s">
        <v>20</v>
      </c>
      <c r="D12" s="16" t="s">
        <v>21</v>
      </c>
      <c r="E12" s="7"/>
      <c r="F12" t="s">
        <v>5</v>
      </c>
      <c r="G12" s="12">
        <v>2</v>
      </c>
      <c r="H12" s="13">
        <f>EDATE(H11,1)</f>
        <v>45901</v>
      </c>
      <c r="I12" s="14">
        <f t="shared" ref="I12:I46" si="0">$D$25</f>
        <v>4706</v>
      </c>
      <c r="J12" s="15">
        <f>D$23-SUM(I$11:I12)</f>
        <v>160004</v>
      </c>
    </row>
    <row r="13" spans="1:10" x14ac:dyDescent="0.25">
      <c r="C13" s="4" t="s">
        <v>22</v>
      </c>
      <c r="D13" s="17">
        <v>45767</v>
      </c>
      <c r="E13" s="7"/>
      <c r="F13" t="s">
        <v>5</v>
      </c>
      <c r="G13" s="12">
        <v>3</v>
      </c>
      <c r="H13" s="13">
        <f t="shared" ref="H13:H46" si="1">EDATE(H12,1)</f>
        <v>45931</v>
      </c>
      <c r="I13" s="14">
        <f t="shared" si="0"/>
        <v>4706</v>
      </c>
      <c r="J13" s="15">
        <f>D$23-SUM(I$11:I13)</f>
        <v>155298</v>
      </c>
    </row>
    <row r="14" spans="1:10" x14ac:dyDescent="0.25">
      <c r="C14" s="4" t="s">
        <v>23</v>
      </c>
      <c r="D14" s="17" t="s">
        <v>24</v>
      </c>
      <c r="E14" s="7"/>
      <c r="F14" t="s">
        <v>5</v>
      </c>
      <c r="G14" s="12">
        <v>4</v>
      </c>
      <c r="H14" s="13">
        <f t="shared" si="1"/>
        <v>45962</v>
      </c>
      <c r="I14" s="14">
        <f t="shared" si="0"/>
        <v>4706</v>
      </c>
      <c r="J14" s="15">
        <f>D$23-SUM(I$11:I14)</f>
        <v>150592</v>
      </c>
    </row>
    <row r="15" spans="1:10" x14ac:dyDescent="0.25">
      <c r="G15" s="12">
        <v>5</v>
      </c>
      <c r="H15" s="13">
        <f t="shared" si="1"/>
        <v>45992</v>
      </c>
      <c r="I15" s="14">
        <f t="shared" si="0"/>
        <v>4706</v>
      </c>
      <c r="J15" s="15">
        <f>D$23-SUM(I$11:I15)</f>
        <v>145886</v>
      </c>
    </row>
    <row r="16" spans="1:10" x14ac:dyDescent="0.25">
      <c r="C16" s="3" t="s">
        <v>25</v>
      </c>
      <c r="G16" s="12">
        <v>6</v>
      </c>
      <c r="H16" s="13">
        <f t="shared" si="1"/>
        <v>46023</v>
      </c>
      <c r="I16" s="14">
        <f t="shared" si="0"/>
        <v>4706</v>
      </c>
      <c r="J16" s="15">
        <f>D$23-SUM(I$11:I16)</f>
        <v>141180</v>
      </c>
    </row>
    <row r="17" spans="3:10" x14ac:dyDescent="0.25">
      <c r="C17" s="5" t="s">
        <v>26</v>
      </c>
      <c r="D17" s="18">
        <v>199000</v>
      </c>
      <c r="E17" t="s">
        <v>5</v>
      </c>
      <c r="F17" s="19"/>
      <c r="G17" s="12">
        <v>7</v>
      </c>
      <c r="H17" s="13">
        <f t="shared" si="1"/>
        <v>46054</v>
      </c>
      <c r="I17" s="14">
        <f t="shared" si="0"/>
        <v>4706</v>
      </c>
      <c r="J17" s="15">
        <f>D$23-SUM(I$11:I17)</f>
        <v>136474</v>
      </c>
    </row>
    <row r="18" spans="3:10" x14ac:dyDescent="0.25">
      <c r="C18" s="5" t="s">
        <v>27</v>
      </c>
      <c r="D18" s="20">
        <v>25</v>
      </c>
      <c r="E18" t="s">
        <v>5</v>
      </c>
      <c r="G18" s="12">
        <v>8</v>
      </c>
      <c r="H18" s="13">
        <f t="shared" si="1"/>
        <v>46082</v>
      </c>
      <c r="I18" s="14">
        <f t="shared" si="0"/>
        <v>4706</v>
      </c>
      <c r="J18" s="15">
        <f>D$23-SUM(I$11:I18)</f>
        <v>131768</v>
      </c>
    </row>
    <row r="19" spans="3:10" x14ac:dyDescent="0.25">
      <c r="C19" s="5" t="s">
        <v>28</v>
      </c>
      <c r="D19" s="18">
        <f>D17*D18/100</f>
        <v>49750</v>
      </c>
      <c r="E19" s="21"/>
      <c r="G19" s="12">
        <v>9</v>
      </c>
      <c r="H19" s="13">
        <f t="shared" si="1"/>
        <v>46113</v>
      </c>
      <c r="I19" s="14">
        <f t="shared" si="0"/>
        <v>4706</v>
      </c>
      <c r="J19" s="15">
        <f>D$23-SUM(I$11:I19)</f>
        <v>127062</v>
      </c>
    </row>
    <row r="20" spans="3:10" x14ac:dyDescent="0.25">
      <c r="C20" s="22" t="s">
        <v>29</v>
      </c>
      <c r="D20" s="23">
        <f>D17-D19</f>
        <v>149250</v>
      </c>
      <c r="E20" s="21"/>
      <c r="G20" s="12">
        <v>10</v>
      </c>
      <c r="H20" s="13">
        <f t="shared" si="1"/>
        <v>46143</v>
      </c>
      <c r="I20" s="14">
        <f t="shared" si="0"/>
        <v>4706</v>
      </c>
      <c r="J20" s="15">
        <f>D$23-SUM(I$11:I20)</f>
        <v>122356</v>
      </c>
    </row>
    <row r="21" spans="3:10" x14ac:dyDescent="0.25">
      <c r="C21" s="5" t="s">
        <v>30</v>
      </c>
      <c r="D21" s="24">
        <v>4.5038525963149098E-2</v>
      </c>
      <c r="E21" s="21" t="s">
        <v>31</v>
      </c>
      <c r="G21" s="12">
        <v>11</v>
      </c>
      <c r="H21" s="13">
        <f t="shared" si="1"/>
        <v>46174</v>
      </c>
      <c r="I21" s="14">
        <f t="shared" si="0"/>
        <v>4706</v>
      </c>
      <c r="J21" s="15">
        <f>D$23-SUM(I$11:I21)</f>
        <v>117650</v>
      </c>
    </row>
    <row r="22" spans="3:10" x14ac:dyDescent="0.25">
      <c r="C22" s="5" t="s">
        <v>32</v>
      </c>
      <c r="D22" s="18">
        <f>D20*D21*3</f>
        <v>20166.000000000007</v>
      </c>
      <c r="E22" s="21"/>
      <c r="G22" s="12">
        <v>12</v>
      </c>
      <c r="H22" s="25">
        <f t="shared" si="1"/>
        <v>46204</v>
      </c>
      <c r="I22" s="26">
        <f t="shared" si="0"/>
        <v>4706</v>
      </c>
      <c r="J22" s="27">
        <f>D$23-SUM(I$11:I22)</f>
        <v>112944</v>
      </c>
    </row>
    <row r="23" spans="3:10" x14ac:dyDescent="0.25">
      <c r="C23" s="22" t="s">
        <v>33</v>
      </c>
      <c r="D23" s="23">
        <f>D20+D22</f>
        <v>169416</v>
      </c>
      <c r="E23" s="21"/>
      <c r="G23" s="28">
        <v>13</v>
      </c>
      <c r="H23" s="13">
        <f t="shared" si="1"/>
        <v>46235</v>
      </c>
      <c r="I23" s="14">
        <f t="shared" si="0"/>
        <v>4706</v>
      </c>
      <c r="J23" s="15">
        <f>D$23-SUM(I$11:I23)</f>
        <v>108238</v>
      </c>
    </row>
    <row r="24" spans="3:10" x14ac:dyDescent="0.25">
      <c r="C24" s="5" t="s">
        <v>34</v>
      </c>
      <c r="D24" s="20">
        <v>36</v>
      </c>
      <c r="E24" s="21" t="s">
        <v>35</v>
      </c>
      <c r="G24" s="28">
        <v>14</v>
      </c>
      <c r="H24" s="13">
        <f t="shared" si="1"/>
        <v>46266</v>
      </c>
      <c r="I24" s="14">
        <f t="shared" si="0"/>
        <v>4706</v>
      </c>
      <c r="J24" s="15">
        <f>D$23-SUM(I$11:I24)</f>
        <v>103532</v>
      </c>
    </row>
    <row r="25" spans="3:10" x14ac:dyDescent="0.25">
      <c r="C25" s="29" t="s">
        <v>36</v>
      </c>
      <c r="D25" s="30">
        <f>D23/D24</f>
        <v>4706</v>
      </c>
      <c r="E25" s="21" t="s">
        <v>37</v>
      </c>
      <c r="G25" s="28">
        <v>15</v>
      </c>
      <c r="H25" s="13">
        <f t="shared" si="1"/>
        <v>46296</v>
      </c>
      <c r="I25" s="14">
        <f t="shared" si="0"/>
        <v>4706</v>
      </c>
      <c r="J25" s="15">
        <f>D$23-SUM(I$11:I25)</f>
        <v>98826</v>
      </c>
    </row>
    <row r="26" spans="3:10" x14ac:dyDescent="0.25">
      <c r="E26" s="21"/>
      <c r="G26" s="28">
        <v>16</v>
      </c>
      <c r="H26" s="13">
        <f t="shared" si="1"/>
        <v>46327</v>
      </c>
      <c r="I26" s="14">
        <f t="shared" si="0"/>
        <v>4706</v>
      </c>
      <c r="J26" s="15">
        <f>D$23-SUM(I$11:I26)</f>
        <v>94120</v>
      </c>
    </row>
    <row r="27" spans="3:10" hidden="1" x14ac:dyDescent="0.25">
      <c r="E27" s="31"/>
      <c r="G27" s="28">
        <v>17</v>
      </c>
      <c r="H27" s="13">
        <f t="shared" si="1"/>
        <v>46357</v>
      </c>
      <c r="I27" s="14">
        <f t="shared" si="0"/>
        <v>4706</v>
      </c>
      <c r="J27" s="15">
        <f>D$23-SUM(I$11:I27)</f>
        <v>89414</v>
      </c>
    </row>
    <row r="28" spans="3:10" x14ac:dyDescent="0.25">
      <c r="C28" s="32" t="s">
        <v>38</v>
      </c>
      <c r="F28" s="33"/>
      <c r="G28" s="28">
        <v>18</v>
      </c>
      <c r="H28" s="13">
        <f t="shared" si="1"/>
        <v>46388</v>
      </c>
      <c r="I28" s="14">
        <f t="shared" si="0"/>
        <v>4706</v>
      </c>
      <c r="J28" s="15">
        <f>D$23-SUM(I$11:I28)</f>
        <v>84708</v>
      </c>
    </row>
    <row r="29" spans="3:10" x14ac:dyDescent="0.25">
      <c r="C29" s="34" t="s">
        <v>39</v>
      </c>
      <c r="D29" s="35" t="s">
        <v>40</v>
      </c>
      <c r="E29" s="35" t="s">
        <v>41</v>
      </c>
      <c r="F29" s="35" t="s">
        <v>42</v>
      </c>
      <c r="G29" s="36">
        <v>19</v>
      </c>
      <c r="H29" s="13">
        <f t="shared" si="1"/>
        <v>46419</v>
      </c>
      <c r="I29" s="14">
        <f t="shared" si="0"/>
        <v>4706</v>
      </c>
      <c r="J29" s="15">
        <f>D$23-SUM(I$11:I29)</f>
        <v>80002</v>
      </c>
    </row>
    <row r="30" spans="3:10" x14ac:dyDescent="0.25">
      <c r="C30" s="4" t="s">
        <v>43</v>
      </c>
      <c r="D30" s="20">
        <v>1890</v>
      </c>
      <c r="E30" s="37"/>
      <c r="F30" s="37"/>
      <c r="G30" s="36">
        <v>20</v>
      </c>
      <c r="H30" s="13">
        <f t="shared" si="1"/>
        <v>46447</v>
      </c>
      <c r="I30" s="14">
        <f t="shared" si="0"/>
        <v>4706</v>
      </c>
      <c r="J30" s="15">
        <f>D$23-SUM(I$11:I30)</f>
        <v>75296</v>
      </c>
    </row>
    <row r="31" spans="3:10" x14ac:dyDescent="0.25">
      <c r="C31" s="4" t="s">
        <v>44</v>
      </c>
      <c r="D31" s="20">
        <v>7500</v>
      </c>
      <c r="E31" s="20">
        <v>7500</v>
      </c>
      <c r="F31" s="20">
        <v>7500</v>
      </c>
      <c r="G31" s="36">
        <v>21</v>
      </c>
      <c r="H31" s="13">
        <f t="shared" si="1"/>
        <v>46478</v>
      </c>
      <c r="I31" s="14">
        <f t="shared" si="0"/>
        <v>4706</v>
      </c>
      <c r="J31" s="15">
        <f>D$23-SUM(I$11:I31)</f>
        <v>70590</v>
      </c>
    </row>
    <row r="32" spans="3:10" x14ac:dyDescent="0.25">
      <c r="C32" s="4" t="s">
        <v>45</v>
      </c>
      <c r="D32" s="20">
        <v>550</v>
      </c>
      <c r="E32" s="37"/>
      <c r="F32" s="38">
        <v>400</v>
      </c>
      <c r="G32" s="36">
        <v>22</v>
      </c>
      <c r="H32" s="13">
        <f t="shared" si="1"/>
        <v>46508</v>
      </c>
      <c r="I32" s="14">
        <f t="shared" si="0"/>
        <v>4706</v>
      </c>
      <c r="J32" s="15">
        <f>D$23-SUM(I$11:I32)</f>
        <v>65884</v>
      </c>
    </row>
    <row r="33" spans="3:10" x14ac:dyDescent="0.25">
      <c r="C33" s="4" t="s">
        <v>46</v>
      </c>
      <c r="D33" s="20">
        <v>500</v>
      </c>
      <c r="E33" s="38">
        <v>500</v>
      </c>
      <c r="F33" s="38">
        <v>500</v>
      </c>
      <c r="G33" s="36">
        <v>23</v>
      </c>
      <c r="H33" s="13">
        <f t="shared" si="1"/>
        <v>46539</v>
      </c>
      <c r="I33" s="14">
        <f t="shared" si="0"/>
        <v>4706</v>
      </c>
      <c r="J33" s="15">
        <f>D$23-SUM(I$11:I33)</f>
        <v>61178</v>
      </c>
    </row>
    <row r="34" spans="3:10" x14ac:dyDescent="0.25">
      <c r="C34" s="4" t="s">
        <v>47</v>
      </c>
      <c r="D34" s="20">
        <v>7500</v>
      </c>
      <c r="E34" s="39">
        <v>6500</v>
      </c>
      <c r="F34" s="40">
        <v>5500</v>
      </c>
      <c r="G34" s="36">
        <v>24</v>
      </c>
      <c r="H34" s="13">
        <f t="shared" si="1"/>
        <v>46569</v>
      </c>
      <c r="I34" s="14">
        <f t="shared" si="0"/>
        <v>4706</v>
      </c>
      <c r="J34" s="15">
        <f>D$23-SUM(I$11:I34)</f>
        <v>56472</v>
      </c>
    </row>
    <row r="35" spans="3:10" x14ac:dyDescent="0.25">
      <c r="C35" s="4" t="s">
        <v>48</v>
      </c>
      <c r="D35" s="20">
        <v>500</v>
      </c>
      <c r="E35" s="38">
        <v>370</v>
      </c>
      <c r="F35" s="38">
        <v>370</v>
      </c>
      <c r="G35" s="36">
        <v>25</v>
      </c>
      <c r="H35" s="13">
        <f t="shared" si="1"/>
        <v>46600</v>
      </c>
      <c r="I35" s="14">
        <f t="shared" si="0"/>
        <v>4706</v>
      </c>
      <c r="J35" s="15">
        <f>D$23-SUM(I$11:I35)</f>
        <v>51766</v>
      </c>
    </row>
    <row r="36" spans="3:10" x14ac:dyDescent="0.25">
      <c r="C36" s="4" t="s">
        <v>49</v>
      </c>
      <c r="D36" s="20">
        <v>50</v>
      </c>
      <c r="E36" s="37"/>
      <c r="F36" s="37"/>
      <c r="G36" s="36">
        <v>26</v>
      </c>
      <c r="H36" s="13">
        <f t="shared" si="1"/>
        <v>46631</v>
      </c>
      <c r="I36" s="14">
        <f t="shared" si="0"/>
        <v>4706</v>
      </c>
      <c r="J36" s="15">
        <f>D$23-SUM(I$11:I36)</f>
        <v>47060</v>
      </c>
    </row>
    <row r="37" spans="3:10" x14ac:dyDescent="0.25">
      <c r="C37" s="4" t="s">
        <v>50</v>
      </c>
      <c r="D37" s="20">
        <v>7500</v>
      </c>
      <c r="E37" s="38">
        <v>8000</v>
      </c>
      <c r="F37" s="38">
        <v>8000</v>
      </c>
      <c r="G37" s="36">
        <v>27</v>
      </c>
      <c r="H37" s="13">
        <f t="shared" si="1"/>
        <v>46661</v>
      </c>
      <c r="I37" s="14">
        <f t="shared" si="0"/>
        <v>4706</v>
      </c>
      <c r="J37" s="15">
        <f>D$23-SUM(I$11:I37)</f>
        <v>42354</v>
      </c>
    </row>
    <row r="38" spans="3:10" x14ac:dyDescent="0.25">
      <c r="C38" s="4" t="s">
        <v>51</v>
      </c>
      <c r="D38" s="20">
        <v>7500</v>
      </c>
      <c r="E38" s="37"/>
      <c r="F38" s="38">
        <v>7500</v>
      </c>
      <c r="G38" s="36">
        <v>28</v>
      </c>
      <c r="H38" s="13">
        <f t="shared" si="1"/>
        <v>46692</v>
      </c>
      <c r="I38" s="14">
        <f t="shared" si="0"/>
        <v>4706</v>
      </c>
      <c r="J38" s="15">
        <f>D$23-SUM(I$11:I38)</f>
        <v>37648</v>
      </c>
    </row>
    <row r="39" spans="3:10" x14ac:dyDescent="0.25">
      <c r="C39" s="4" t="s">
        <v>52</v>
      </c>
      <c r="D39" s="20">
        <v>1000</v>
      </c>
      <c r="E39" s="37"/>
      <c r="F39" s="37"/>
      <c r="G39" s="36">
        <v>29</v>
      </c>
      <c r="H39" s="13">
        <f t="shared" si="1"/>
        <v>46722</v>
      </c>
      <c r="I39" s="14">
        <f t="shared" si="0"/>
        <v>4706</v>
      </c>
      <c r="J39" s="15">
        <f>D$23-SUM(I$11:I39)</f>
        <v>32942</v>
      </c>
    </row>
    <row r="40" spans="3:10" x14ac:dyDescent="0.25">
      <c r="C40" s="4"/>
      <c r="D40" s="20"/>
      <c r="E40" s="37"/>
      <c r="F40" s="37"/>
      <c r="G40" s="36">
        <v>30</v>
      </c>
      <c r="H40" s="13">
        <f t="shared" si="1"/>
        <v>46753</v>
      </c>
      <c r="I40" s="14">
        <f t="shared" si="0"/>
        <v>4706</v>
      </c>
      <c r="J40" s="15">
        <f>D$23-SUM(I$11:I40)</f>
        <v>28236</v>
      </c>
    </row>
    <row r="41" spans="3:10" hidden="1" x14ac:dyDescent="0.25">
      <c r="C41" s="5"/>
      <c r="D41" s="20"/>
      <c r="E41" s="37"/>
      <c r="F41" s="37"/>
      <c r="G41" s="36">
        <v>31</v>
      </c>
      <c r="H41" s="13">
        <f t="shared" si="1"/>
        <v>46784</v>
      </c>
      <c r="I41" s="14">
        <f t="shared" si="0"/>
        <v>4706</v>
      </c>
      <c r="J41" s="15">
        <f>D$23-SUM(I$11:I41)</f>
        <v>23530</v>
      </c>
    </row>
    <row r="42" spans="3:10" hidden="1" x14ac:dyDescent="0.25">
      <c r="C42" s="5"/>
      <c r="D42" s="20"/>
      <c r="E42" s="37"/>
      <c r="F42" s="37"/>
      <c r="G42" s="36">
        <v>32</v>
      </c>
      <c r="H42" s="13">
        <f t="shared" si="1"/>
        <v>46813</v>
      </c>
      <c r="I42" s="14">
        <f t="shared" si="0"/>
        <v>4706</v>
      </c>
      <c r="J42" s="15">
        <f>D$23-SUM(I$11:I42)</f>
        <v>18824</v>
      </c>
    </row>
    <row r="43" spans="3:10" hidden="1" x14ac:dyDescent="0.25">
      <c r="C43" s="5"/>
      <c r="D43" s="20"/>
      <c r="E43" s="37"/>
      <c r="F43" s="37"/>
      <c r="G43" s="36">
        <v>33</v>
      </c>
      <c r="H43" s="13">
        <f t="shared" si="1"/>
        <v>46844</v>
      </c>
      <c r="I43" s="14">
        <f t="shared" si="0"/>
        <v>4706</v>
      </c>
      <c r="J43" s="15">
        <f>D$23-SUM(I$11:I43)</f>
        <v>14118</v>
      </c>
    </row>
    <row r="44" spans="3:10" x14ac:dyDescent="0.25">
      <c r="C44" s="34" t="s">
        <v>53</v>
      </c>
      <c r="D44" s="37">
        <f>SUM(D30:D43)</f>
        <v>34490</v>
      </c>
      <c r="E44" s="37">
        <f>SUM(E30:E43)</f>
        <v>22870</v>
      </c>
      <c r="F44" s="37">
        <f>SUM(F30:F43)</f>
        <v>29770</v>
      </c>
      <c r="G44" s="36">
        <v>34</v>
      </c>
      <c r="H44" s="13">
        <f t="shared" si="1"/>
        <v>46874</v>
      </c>
      <c r="I44" s="14">
        <f t="shared" si="0"/>
        <v>4706</v>
      </c>
      <c r="J44" s="15">
        <f>D$23-SUM(I$11:I44)</f>
        <v>9412</v>
      </c>
    </row>
    <row r="45" spans="3:10" x14ac:dyDescent="0.25">
      <c r="C45" s="1"/>
      <c r="D45" s="31"/>
      <c r="E45" s="31"/>
      <c r="F45" s="41"/>
      <c r="G45" s="28">
        <v>35</v>
      </c>
      <c r="H45" s="13">
        <f t="shared" si="1"/>
        <v>46905</v>
      </c>
      <c r="I45" s="14">
        <f t="shared" si="0"/>
        <v>4706</v>
      </c>
      <c r="J45" s="15">
        <f>D$23-SUM(I$11:I45)</f>
        <v>4706</v>
      </c>
    </row>
    <row r="46" spans="3:10" x14ac:dyDescent="0.25">
      <c r="C46" s="3" t="s">
        <v>54</v>
      </c>
      <c r="D46" s="42"/>
      <c r="E46" s="31"/>
      <c r="G46" s="28">
        <v>36</v>
      </c>
      <c r="H46" s="13">
        <f t="shared" si="1"/>
        <v>46935</v>
      </c>
      <c r="I46" s="14">
        <f t="shared" si="0"/>
        <v>4706</v>
      </c>
      <c r="J46" s="15">
        <f>D$23-SUM(I$11:I46)</f>
        <v>0</v>
      </c>
    </row>
    <row r="47" spans="3:10" hidden="1" x14ac:dyDescent="0.25">
      <c r="C47" s="1"/>
      <c r="D47" s="42"/>
      <c r="E47" s="31"/>
      <c r="G47" s="28"/>
      <c r="H47" s="43"/>
      <c r="I47" s="14"/>
      <c r="J47" s="15">
        <f>D$23-SUM(I$11:I47)</f>
        <v>0</v>
      </c>
    </row>
    <row r="48" spans="3:10" x14ac:dyDescent="0.25">
      <c r="C48" s="4" t="s">
        <v>55</v>
      </c>
      <c r="D48" s="20">
        <f>D19</f>
        <v>49750</v>
      </c>
      <c r="E48" s="31"/>
      <c r="G48" s="28"/>
      <c r="H48" s="43"/>
      <c r="I48" s="14"/>
      <c r="J48" s="15">
        <f>D$23-SUM(I$11:I48)</f>
        <v>0</v>
      </c>
    </row>
    <row r="49" spans="1:10" x14ac:dyDescent="0.25">
      <c r="C49" s="4" t="s">
        <v>38</v>
      </c>
      <c r="D49" s="20">
        <f>D44</f>
        <v>34490</v>
      </c>
      <c r="E49" s="31"/>
      <c r="G49" s="28"/>
      <c r="H49" s="43"/>
      <c r="I49" s="20"/>
      <c r="J49" s="15"/>
    </row>
    <row r="50" spans="1:10" x14ac:dyDescent="0.25">
      <c r="C50" s="44" t="s">
        <v>56</v>
      </c>
      <c r="D50" s="37">
        <f>SUM(D48:D49)</f>
        <v>84240</v>
      </c>
      <c r="E50" s="31"/>
    </row>
    <row r="51" spans="1:10" x14ac:dyDescent="0.25">
      <c r="C51" s="44"/>
      <c r="D51" s="37"/>
      <c r="E51" s="31"/>
    </row>
    <row r="52" spans="1:10" x14ac:dyDescent="0.25">
      <c r="C52" s="4" t="s">
        <v>57</v>
      </c>
      <c r="D52" s="20">
        <v>30000</v>
      </c>
      <c r="E52" s="31"/>
    </row>
    <row r="53" spans="1:10" x14ac:dyDescent="0.25">
      <c r="C53" s="4" t="s">
        <v>58</v>
      </c>
      <c r="D53" s="20">
        <v>50000</v>
      </c>
      <c r="E53" s="31"/>
    </row>
    <row r="54" spans="1:10" x14ac:dyDescent="0.25">
      <c r="C54" s="4"/>
      <c r="D54" s="20"/>
      <c r="E54" s="31"/>
    </row>
    <row r="55" spans="1:10" x14ac:dyDescent="0.25">
      <c r="C55" s="4"/>
      <c r="D55" s="20"/>
      <c r="E55" s="31"/>
    </row>
    <row r="56" spans="1:10" x14ac:dyDescent="0.25">
      <c r="C56" s="44" t="s">
        <v>59</v>
      </c>
      <c r="D56" s="37">
        <f>SUM(D52:D53)</f>
        <v>80000</v>
      </c>
      <c r="E56" s="31"/>
    </row>
    <row r="57" spans="1:10" x14ac:dyDescent="0.25">
      <c r="C57" s="4" t="s">
        <v>60</v>
      </c>
      <c r="D57" s="38">
        <f>D50-D56</f>
        <v>4240</v>
      </c>
      <c r="E57" s="31"/>
    </row>
    <row r="58" spans="1:10" x14ac:dyDescent="0.25">
      <c r="C58" s="45" t="s">
        <v>61</v>
      </c>
      <c r="D58" s="46">
        <v>45870</v>
      </c>
      <c r="E58" s="47"/>
    </row>
    <row r="59" spans="1:10" ht="18.75" hidden="1" x14ac:dyDescent="0.3">
      <c r="A59" s="48" t="s">
        <v>62</v>
      </c>
      <c r="C59" s="1"/>
      <c r="D59" s="47"/>
      <c r="E59" s="47"/>
      <c r="I59" s="21"/>
    </row>
    <row r="60" spans="1:10" hidden="1" x14ac:dyDescent="0.25">
      <c r="A60" s="1" t="s">
        <v>63</v>
      </c>
      <c r="C60" s="1"/>
      <c r="D60" s="47"/>
      <c r="E60" s="47"/>
      <c r="I60" s="21"/>
    </row>
    <row r="61" spans="1:10" hidden="1" x14ac:dyDescent="0.25">
      <c r="D61" s="47"/>
      <c r="E61" s="47"/>
      <c r="I61" s="47"/>
    </row>
    <row r="62" spans="1:10" hidden="1" x14ac:dyDescent="0.25">
      <c r="A62" s="49" t="s">
        <v>64</v>
      </c>
      <c r="B62" s="49" t="s">
        <v>65</v>
      </c>
      <c r="C62" s="50" t="s">
        <v>39</v>
      </c>
      <c r="D62" s="51" t="s">
        <v>66</v>
      </c>
      <c r="E62" s="51" t="s">
        <v>67</v>
      </c>
      <c r="F62" s="52" t="s">
        <v>68</v>
      </c>
    </row>
    <row r="63" spans="1:10" hidden="1" x14ac:dyDescent="0.25">
      <c r="A63" s="53">
        <v>1</v>
      </c>
      <c r="B63" s="54">
        <v>45748</v>
      </c>
      <c r="C63" s="55" t="s">
        <v>69</v>
      </c>
      <c r="D63" s="56"/>
      <c r="E63" s="56">
        <v>262</v>
      </c>
      <c r="F63" s="57">
        <f>E63-D63</f>
        <v>262</v>
      </c>
    </row>
    <row r="64" spans="1:10" hidden="1" x14ac:dyDescent="0.25">
      <c r="A64" s="58">
        <v>2</v>
      </c>
      <c r="B64" s="59">
        <v>45748</v>
      </c>
      <c r="C64" s="60" t="s">
        <v>70</v>
      </c>
      <c r="D64" s="61"/>
      <c r="E64" s="61">
        <v>606.64</v>
      </c>
      <c r="F64" s="62">
        <f>IF(OR(D64&gt;0,E64&gt;0),F63+E64-D64,"")</f>
        <v>868.64</v>
      </c>
    </row>
    <row r="65" spans="1:6" hidden="1" x14ac:dyDescent="0.25">
      <c r="A65" s="58">
        <v>3</v>
      </c>
      <c r="B65" s="59">
        <v>45748</v>
      </c>
      <c r="C65" s="60" t="s">
        <v>71</v>
      </c>
      <c r="D65" s="61"/>
      <c r="E65" s="61">
        <v>1234</v>
      </c>
      <c r="F65" s="62">
        <f t="shared" ref="F65:F82" si="2">IF(OR(D65&gt;0,E65&gt;0),F64+E65-D65,"")</f>
        <v>2102.64</v>
      </c>
    </row>
    <row r="66" spans="1:6" hidden="1" x14ac:dyDescent="0.25">
      <c r="A66" s="58">
        <v>4</v>
      </c>
      <c r="B66" s="59">
        <v>45748</v>
      </c>
      <c r="C66" s="60" t="s">
        <v>72</v>
      </c>
      <c r="D66" s="61"/>
      <c r="E66" s="61">
        <v>1780.29</v>
      </c>
      <c r="F66" s="62">
        <f t="shared" si="2"/>
        <v>3882.93</v>
      </c>
    </row>
    <row r="67" spans="1:6" hidden="1" x14ac:dyDescent="0.25">
      <c r="A67" s="58">
        <v>5</v>
      </c>
      <c r="B67" s="59">
        <v>45755</v>
      </c>
      <c r="C67" s="60" t="s">
        <v>73</v>
      </c>
      <c r="D67" s="61">
        <v>102</v>
      </c>
      <c r="E67" s="61"/>
      <c r="F67" s="62">
        <f t="shared" si="2"/>
        <v>3780.93</v>
      </c>
    </row>
    <row r="68" spans="1:6" hidden="1" x14ac:dyDescent="0.25">
      <c r="A68" s="58">
        <v>6</v>
      </c>
      <c r="B68" s="59">
        <v>45755</v>
      </c>
      <c r="C68" s="60" t="s">
        <v>74</v>
      </c>
      <c r="D68" s="61">
        <v>55</v>
      </c>
      <c r="E68" s="61"/>
      <c r="F68" s="62">
        <f t="shared" si="2"/>
        <v>3725.93</v>
      </c>
    </row>
    <row r="69" spans="1:6" hidden="1" x14ac:dyDescent="0.25">
      <c r="A69" s="58">
        <v>7</v>
      </c>
      <c r="B69" s="59">
        <v>45755</v>
      </c>
      <c r="C69" s="60" t="s">
        <v>75</v>
      </c>
      <c r="D69" s="61"/>
      <c r="E69" s="61">
        <v>477</v>
      </c>
      <c r="F69" s="62">
        <f t="shared" si="2"/>
        <v>4202.93</v>
      </c>
    </row>
    <row r="70" spans="1:6" hidden="1" x14ac:dyDescent="0.25">
      <c r="A70" s="58">
        <v>8</v>
      </c>
      <c r="B70" s="59">
        <v>45755</v>
      </c>
      <c r="C70" s="60" t="s">
        <v>76</v>
      </c>
      <c r="D70" s="61"/>
      <c r="E70" s="61">
        <v>1527.16</v>
      </c>
      <c r="F70" s="62">
        <f t="shared" si="2"/>
        <v>5730.09</v>
      </c>
    </row>
    <row r="71" spans="1:6" hidden="1" x14ac:dyDescent="0.25">
      <c r="A71" s="58">
        <v>9</v>
      </c>
      <c r="B71" s="59">
        <v>45762</v>
      </c>
      <c r="C71" s="60" t="s">
        <v>77</v>
      </c>
      <c r="D71" s="61"/>
      <c r="E71" s="61">
        <v>1025</v>
      </c>
      <c r="F71" s="62">
        <f t="shared" si="2"/>
        <v>6755.09</v>
      </c>
    </row>
    <row r="72" spans="1:6" hidden="1" x14ac:dyDescent="0.25">
      <c r="A72" s="58">
        <v>10</v>
      </c>
      <c r="B72" s="59">
        <v>45762</v>
      </c>
      <c r="C72" s="60" t="s">
        <v>78</v>
      </c>
      <c r="D72" s="61"/>
      <c r="E72" s="61">
        <v>2197.04</v>
      </c>
      <c r="F72" s="62">
        <f t="shared" si="2"/>
        <v>8952.130000000001</v>
      </c>
    </row>
    <row r="73" spans="1:6" hidden="1" x14ac:dyDescent="0.25">
      <c r="A73" s="58">
        <v>11</v>
      </c>
      <c r="B73" s="59">
        <v>45769</v>
      </c>
      <c r="C73" s="60" t="s">
        <v>79</v>
      </c>
      <c r="D73" s="61">
        <v>30</v>
      </c>
      <c r="E73" s="61"/>
      <c r="F73" s="62">
        <f t="shared" si="2"/>
        <v>8922.130000000001</v>
      </c>
    </row>
    <row r="74" spans="1:6" hidden="1" x14ac:dyDescent="0.25">
      <c r="A74" s="58">
        <v>12</v>
      </c>
      <c r="B74" s="59">
        <v>45769</v>
      </c>
      <c r="C74" s="60" t="s">
        <v>80</v>
      </c>
      <c r="D74" s="61"/>
      <c r="E74" s="61">
        <v>847</v>
      </c>
      <c r="F74" s="62">
        <f t="shared" si="2"/>
        <v>9769.130000000001</v>
      </c>
    </row>
    <row r="75" spans="1:6" hidden="1" x14ac:dyDescent="0.25">
      <c r="A75" s="58">
        <v>13</v>
      </c>
      <c r="B75" s="59">
        <v>45769</v>
      </c>
      <c r="C75" s="60" t="s">
        <v>81</v>
      </c>
      <c r="D75" s="61"/>
      <c r="E75" s="61">
        <v>2361.7600000000002</v>
      </c>
      <c r="F75" s="62">
        <f t="shared" si="2"/>
        <v>12130.890000000001</v>
      </c>
    </row>
    <row r="76" spans="1:6" hidden="1" x14ac:dyDescent="0.25">
      <c r="A76" s="58">
        <v>14</v>
      </c>
      <c r="B76" s="59">
        <v>45779</v>
      </c>
      <c r="C76" s="60" t="s">
        <v>82</v>
      </c>
      <c r="D76" s="61"/>
      <c r="E76" s="61">
        <v>996</v>
      </c>
      <c r="F76" s="62">
        <f t="shared" si="2"/>
        <v>13126.890000000001</v>
      </c>
    </row>
    <row r="77" spans="1:6" hidden="1" x14ac:dyDescent="0.25">
      <c r="A77" s="58">
        <v>15</v>
      </c>
      <c r="B77" s="59">
        <v>45779</v>
      </c>
      <c r="C77" s="60" t="s">
        <v>83</v>
      </c>
      <c r="D77" s="61"/>
      <c r="E77" s="61">
        <v>2003.31</v>
      </c>
      <c r="F77" s="62">
        <f t="shared" si="2"/>
        <v>15130.2</v>
      </c>
    </row>
    <row r="78" spans="1:6" hidden="1" x14ac:dyDescent="0.25">
      <c r="A78" s="58">
        <v>16</v>
      </c>
      <c r="B78" s="59">
        <v>45779</v>
      </c>
      <c r="C78" s="60" t="s">
        <v>84</v>
      </c>
      <c r="D78" s="61">
        <v>4706</v>
      </c>
      <c r="E78" s="61"/>
      <c r="F78" s="62">
        <f t="shared" si="2"/>
        <v>10424.200000000001</v>
      </c>
    </row>
    <row r="79" spans="1:6" hidden="1" x14ac:dyDescent="0.25">
      <c r="A79" s="58">
        <v>17</v>
      </c>
      <c r="B79" s="59">
        <v>45779</v>
      </c>
      <c r="C79" s="60" t="s">
        <v>85</v>
      </c>
      <c r="D79" s="61">
        <v>7890</v>
      </c>
      <c r="E79" s="61"/>
      <c r="F79" s="62">
        <f t="shared" si="2"/>
        <v>2534.2000000000007</v>
      </c>
    </row>
    <row r="80" spans="1:6" hidden="1" x14ac:dyDescent="0.25">
      <c r="A80" s="58">
        <v>18</v>
      </c>
      <c r="B80" s="58"/>
      <c r="C80" s="60"/>
      <c r="D80" s="61"/>
      <c r="E80" s="61"/>
      <c r="F80" s="62" t="str">
        <f t="shared" si="2"/>
        <v/>
      </c>
    </row>
    <row r="81" spans="1:6" hidden="1" x14ac:dyDescent="0.25">
      <c r="A81" s="58">
        <v>19</v>
      </c>
      <c r="B81" s="58"/>
      <c r="C81" s="60"/>
      <c r="D81" s="61"/>
      <c r="E81" s="61"/>
      <c r="F81" s="62" t="str">
        <f t="shared" si="2"/>
        <v/>
      </c>
    </row>
    <row r="82" spans="1:6" hidden="1" x14ac:dyDescent="0.25">
      <c r="A82" s="58">
        <v>20</v>
      </c>
      <c r="B82" s="58"/>
      <c r="C82" s="60"/>
      <c r="D82" s="61"/>
      <c r="E82" s="61"/>
      <c r="F82" s="62" t="str">
        <f t="shared" si="2"/>
        <v/>
      </c>
    </row>
    <row r="83" spans="1:6" hidden="1" x14ac:dyDescent="0.25">
      <c r="A83" s="58">
        <v>21</v>
      </c>
      <c r="B83" s="58"/>
      <c r="C83" s="60"/>
      <c r="D83" s="61"/>
      <c r="E83" s="61"/>
      <c r="F83" s="62"/>
    </row>
    <row r="84" spans="1:6" hidden="1" x14ac:dyDescent="0.25">
      <c r="A84" s="58">
        <v>22</v>
      </c>
      <c r="B84" s="58"/>
      <c r="C84" s="60"/>
      <c r="D84" s="61"/>
      <c r="E84" s="61"/>
      <c r="F84" s="62"/>
    </row>
    <row r="85" spans="1:6" hidden="1" x14ac:dyDescent="0.25">
      <c r="A85" s="58">
        <v>23</v>
      </c>
      <c r="B85" s="58"/>
      <c r="C85" s="60"/>
      <c r="D85" s="61"/>
      <c r="E85" s="61"/>
      <c r="F85" s="62"/>
    </row>
    <row r="86" spans="1:6" hidden="1" x14ac:dyDescent="0.25">
      <c r="A86" s="58">
        <v>24</v>
      </c>
      <c r="B86" s="58"/>
      <c r="C86" s="60"/>
      <c r="D86" s="61"/>
      <c r="E86" s="61"/>
      <c r="F86" s="62"/>
    </row>
    <row r="87" spans="1:6" hidden="1" x14ac:dyDescent="0.25">
      <c r="A87" s="58">
        <v>25</v>
      </c>
      <c r="B87" s="58"/>
      <c r="C87" s="60"/>
      <c r="D87" s="61"/>
      <c r="E87" s="61"/>
      <c r="F87" s="62"/>
    </row>
    <row r="88" spans="1:6" hidden="1" x14ac:dyDescent="0.25">
      <c r="A88" s="58">
        <v>26</v>
      </c>
      <c r="B88" s="58"/>
      <c r="C88" s="60"/>
      <c r="D88" s="61"/>
      <c r="E88" s="61"/>
      <c r="F88" s="62"/>
    </row>
    <row r="89" spans="1:6" hidden="1" x14ac:dyDescent="0.25">
      <c r="A89" s="58">
        <v>27</v>
      </c>
      <c r="B89" s="58"/>
      <c r="C89" s="60"/>
      <c r="D89" s="61"/>
      <c r="E89" s="61"/>
      <c r="F89" s="60"/>
    </row>
    <row r="90" spans="1:6" hidden="1" x14ac:dyDescent="0.25">
      <c r="A90" s="58">
        <v>28</v>
      </c>
      <c r="B90" s="58"/>
      <c r="C90" s="60"/>
      <c r="D90" s="61"/>
      <c r="E90" s="61"/>
      <c r="F90" s="60"/>
    </row>
    <row r="91" spans="1:6" hidden="1" x14ac:dyDescent="0.25">
      <c r="A91" s="58">
        <v>29</v>
      </c>
      <c r="B91" s="58"/>
      <c r="C91" s="60"/>
      <c r="D91" s="61"/>
      <c r="E91" s="61"/>
      <c r="F91" s="60"/>
    </row>
    <row r="92" spans="1:6" hidden="1" x14ac:dyDescent="0.25">
      <c r="A92" s="58">
        <v>30</v>
      </c>
      <c r="B92" s="58"/>
      <c r="C92" s="60"/>
      <c r="D92" s="61"/>
      <c r="E92" s="61"/>
      <c r="F92" s="60"/>
    </row>
    <row r="93" spans="1:6" hidden="1" x14ac:dyDescent="0.25">
      <c r="A93" s="58">
        <v>31</v>
      </c>
      <c r="B93" s="58"/>
      <c r="C93" s="60"/>
      <c r="D93" s="61"/>
      <c r="E93" s="61"/>
      <c r="F93" s="60"/>
    </row>
    <row r="94" spans="1:6" hidden="1" x14ac:dyDescent="0.25">
      <c r="A94" s="58">
        <v>32</v>
      </c>
      <c r="B94" s="58"/>
      <c r="C94" s="60"/>
      <c r="D94" s="61"/>
      <c r="E94" s="61"/>
      <c r="F94" s="60"/>
    </row>
    <row r="95" spans="1:6" hidden="1" x14ac:dyDescent="0.25">
      <c r="A95" s="58">
        <v>33</v>
      </c>
      <c r="B95" s="58"/>
      <c r="C95" s="60"/>
      <c r="D95" s="61"/>
      <c r="E95" s="61"/>
      <c r="F95" s="60"/>
    </row>
    <row r="96" spans="1:6" hidden="1" x14ac:dyDescent="0.25">
      <c r="A96" s="58">
        <v>34</v>
      </c>
      <c r="B96" s="58"/>
      <c r="C96" s="60"/>
      <c r="D96" s="61"/>
      <c r="E96" s="61"/>
      <c r="F96" s="60"/>
    </row>
    <row r="97" spans="1:6" hidden="1" x14ac:dyDescent="0.25">
      <c r="A97" s="58">
        <v>35</v>
      </c>
      <c r="B97" s="63"/>
      <c r="C97" s="64"/>
      <c r="D97" s="65"/>
      <c r="E97" s="65"/>
      <c r="F97" s="66"/>
    </row>
    <row r="98" spans="1:6" hidden="1" x14ac:dyDescent="0.25"/>
    <row r="99" spans="1:6" hidden="1" x14ac:dyDescent="0.25">
      <c r="C99" s="67" t="s">
        <v>86</v>
      </c>
      <c r="D99" s="68">
        <f>SUBTOTAL(9,D63:D97)</f>
        <v>12783</v>
      </c>
      <c r="E99" s="68">
        <f>SUBTOTAL(9,E63:E97)</f>
        <v>15317.2</v>
      </c>
      <c r="F99" s="68">
        <f>E99-D99</f>
        <v>2534.2000000000007</v>
      </c>
    </row>
    <row r="100" spans="1:6" hidden="1" x14ac:dyDescent="0.25"/>
    <row r="101" spans="1:6" hidden="1" x14ac:dyDescent="0.25"/>
  </sheetData>
  <conditionalFormatting sqref="D30:F44">
    <cfRule type="cellIs" dxfId="1" priority="1" operator="equal">
      <formula>0</formula>
    </cfRule>
  </conditionalFormatting>
  <conditionalFormatting sqref="J11:J49">
    <cfRule type="cellIs" dxfId="0" priority="2" operator="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showGridLines="0" topLeftCell="A30" workbookViewId="0">
      <selection activeCell="G45" sqref="G45"/>
    </sheetView>
  </sheetViews>
  <sheetFormatPr defaultRowHeight="15" x14ac:dyDescent="0.25"/>
  <cols>
    <col min="1" max="1" width="12" customWidth="1"/>
    <col min="2" max="2" width="5.7109375" customWidth="1"/>
    <col min="3" max="3" width="13" customWidth="1"/>
    <col min="4" max="4" width="16.140625" customWidth="1"/>
    <col min="5" max="5" width="9.85546875" customWidth="1"/>
    <col min="6" max="6" width="8.5703125" customWidth="1"/>
    <col min="7" max="7" width="10.140625" customWidth="1"/>
    <col min="8" max="8" width="10.7109375" customWidth="1"/>
    <col min="9" max="9" width="7" customWidth="1"/>
    <col min="10" max="10" width="5.140625" customWidth="1"/>
  </cols>
  <sheetData>
    <row r="1" spans="1:10" ht="26.1" customHeight="1" x14ac:dyDescent="0.25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24" customHeight="1" x14ac:dyDescent="0.25">
      <c r="A2" s="88" t="s">
        <v>87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ht="20.100000000000001" customHeight="1" x14ac:dyDescent="0.25">
      <c r="A3" s="89" t="s">
        <v>88</v>
      </c>
      <c r="B3" s="89"/>
      <c r="C3" s="89"/>
      <c r="D3" s="89"/>
      <c r="E3" s="89"/>
      <c r="F3" s="89"/>
      <c r="G3" s="89"/>
      <c r="H3" s="89"/>
      <c r="I3" s="89"/>
      <c r="J3" s="89"/>
    </row>
    <row r="4" spans="1:10" ht="18" customHeight="1" x14ac:dyDescent="0.25">
      <c r="A4" s="69"/>
      <c r="B4" s="69"/>
      <c r="C4" s="69"/>
      <c r="D4" s="69"/>
      <c r="E4" s="69"/>
      <c r="F4" s="69"/>
      <c r="G4" s="69"/>
      <c r="H4" s="69"/>
      <c r="I4" s="69"/>
      <c r="J4" s="69"/>
    </row>
    <row r="5" spans="1:10" ht="18" customHeight="1" x14ac:dyDescent="0.25">
      <c r="A5" s="70" t="s">
        <v>89</v>
      </c>
      <c r="B5" s="90" t="str">
        <f>'MAIN-LEXUS-FAISAL'!D5</f>
        <v>MUHAMMAD FAISAL</v>
      </c>
      <c r="C5" s="91"/>
      <c r="D5" s="69" t="s">
        <v>90</v>
      </c>
      <c r="E5" s="79">
        <f>'MAIN-LEXUS-FAISAL'!D17</f>
        <v>199000</v>
      </c>
      <c r="F5" s="69"/>
      <c r="G5" s="69" t="s">
        <v>91</v>
      </c>
      <c r="H5" s="84">
        <f>'MAIN-LEXUS-FAISAL'!D24</f>
        <v>36</v>
      </c>
      <c r="I5" s="69"/>
      <c r="J5" s="69"/>
    </row>
    <row r="6" spans="1:10" ht="18" customHeight="1" x14ac:dyDescent="0.25">
      <c r="A6" s="70" t="s">
        <v>92</v>
      </c>
      <c r="B6" s="90" t="str">
        <f>'MAIN-LEXUS-FAISAL'!D6</f>
        <v>+971 56 736 8995</v>
      </c>
      <c r="C6" s="91"/>
      <c r="D6" s="69" t="s">
        <v>93</v>
      </c>
      <c r="E6" s="79">
        <f>'MAIN-LEXUS-FAISAL'!D19</f>
        <v>49750</v>
      </c>
      <c r="F6" s="69"/>
      <c r="G6" s="69" t="s">
        <v>94</v>
      </c>
      <c r="H6" s="79">
        <f>'MAIN-LEXUS-FAISAL'!D25</f>
        <v>4706</v>
      </c>
      <c r="I6" s="69"/>
      <c r="J6" s="69"/>
    </row>
    <row r="7" spans="1:10" ht="18" customHeight="1" x14ac:dyDescent="0.25">
      <c r="A7" s="70" t="s">
        <v>95</v>
      </c>
      <c r="B7" s="90" t="str">
        <f>'MAIN-LEXUS-FAISAL'!D10</f>
        <v>LEXUS ES300H</v>
      </c>
      <c r="C7" s="91"/>
      <c r="D7" s="69" t="s">
        <v>96</v>
      </c>
      <c r="E7" s="79">
        <f>'MAIN-LEXUS-FAISAL'!D20</f>
        <v>149250</v>
      </c>
      <c r="F7" s="69"/>
      <c r="G7" s="69" t="s">
        <v>97</v>
      </c>
      <c r="H7" s="85">
        <v>12</v>
      </c>
      <c r="I7" s="69"/>
      <c r="J7" s="69"/>
    </row>
    <row r="8" spans="1:10" ht="18" customHeight="1" x14ac:dyDescent="0.25">
      <c r="A8" s="70" t="s">
        <v>98</v>
      </c>
      <c r="B8" s="90" t="str">
        <f>'MAIN-LEXUS-FAISAL'!D11</f>
        <v>JTHB21B16S2265896</v>
      </c>
      <c r="C8" s="91"/>
      <c r="D8" s="69" t="s">
        <v>99</v>
      </c>
      <c r="E8" s="79">
        <f>'MAIN-LEXUS-FAISAL'!D22</f>
        <v>20166.000000000007</v>
      </c>
      <c r="F8" s="69"/>
      <c r="G8" s="69" t="s">
        <v>100</v>
      </c>
      <c r="H8" s="84">
        <f>H5-H7</f>
        <v>24</v>
      </c>
      <c r="I8" s="69"/>
      <c r="J8" s="69"/>
    </row>
    <row r="9" spans="1:10" ht="18" customHeight="1" x14ac:dyDescent="0.25">
      <c r="A9" s="70" t="s">
        <v>101</v>
      </c>
      <c r="B9" s="105">
        <f>'MAIN-LEXUS-FAISAL'!D58</f>
        <v>45870</v>
      </c>
      <c r="C9" s="106"/>
      <c r="D9" s="69" t="s">
        <v>102</v>
      </c>
      <c r="E9" s="79">
        <f>'MAIN-LEXUS-FAISAL'!D23</f>
        <v>169416</v>
      </c>
      <c r="F9" s="69"/>
      <c r="G9" s="69" t="s">
        <v>103</v>
      </c>
      <c r="H9" s="79">
        <f>SUMIF(A16:A51,"PAID",D16:D51)</f>
        <v>56472</v>
      </c>
      <c r="I9" s="69"/>
      <c r="J9" s="69"/>
    </row>
    <row r="10" spans="1:10" ht="18" customHeight="1" x14ac:dyDescent="0.25">
      <c r="A10" s="69"/>
      <c r="B10" s="69"/>
      <c r="C10" s="69"/>
      <c r="D10" s="69"/>
      <c r="E10" s="69"/>
      <c r="F10" s="69"/>
      <c r="G10" s="69" t="s">
        <v>104</v>
      </c>
      <c r="H10" s="79">
        <f>SUMIF(A16:A51,"PENDING",D16:D51)</f>
        <v>112944</v>
      </c>
      <c r="I10" s="69"/>
      <c r="J10" s="69"/>
    </row>
    <row r="11" spans="1:10" ht="18" customHeight="1" x14ac:dyDescent="0.25">
      <c r="A11" s="69"/>
      <c r="B11" s="69"/>
      <c r="C11" s="69"/>
      <c r="D11" s="69"/>
      <c r="E11" s="69"/>
      <c r="F11" s="69"/>
      <c r="G11" s="69" t="s">
        <v>105</v>
      </c>
      <c r="H11" s="83">
        <f>RATE(H5,-H6,E7)</f>
        <v>7.0175794082175157E-3</v>
      </c>
      <c r="I11" s="69"/>
      <c r="J11" s="69"/>
    </row>
    <row r="12" spans="1:10" ht="18" customHeight="1" x14ac:dyDescent="0.25">
      <c r="A12" s="69"/>
      <c r="B12" s="69"/>
      <c r="C12" s="69"/>
      <c r="D12" s="69"/>
      <c r="E12" s="69"/>
      <c r="F12" s="69"/>
      <c r="G12" s="69" t="s">
        <v>106</v>
      </c>
      <c r="H12" s="83">
        <f>(1+H11)^12-1</f>
        <v>8.7538460684234431E-2</v>
      </c>
      <c r="I12" s="69"/>
      <c r="J12" s="69"/>
    </row>
    <row r="13" spans="1:10" ht="23.1" customHeight="1" x14ac:dyDescent="0.25">
      <c r="A13" s="92" t="s">
        <v>107</v>
      </c>
      <c r="B13" s="92"/>
      <c r="C13" s="92"/>
      <c r="D13" s="92"/>
      <c r="E13" s="92"/>
      <c r="F13" s="92"/>
      <c r="G13" s="92"/>
      <c r="H13" s="92"/>
      <c r="I13" s="92"/>
      <c r="J13" s="92"/>
    </row>
    <row r="14" spans="1:10" ht="30" customHeight="1" x14ac:dyDescent="0.25">
      <c r="A14" s="71" t="s">
        <v>108</v>
      </c>
      <c r="B14" s="71" t="s">
        <v>109</v>
      </c>
      <c r="C14" s="71" t="s">
        <v>110</v>
      </c>
      <c r="D14" s="71" t="s">
        <v>111</v>
      </c>
      <c r="E14" s="71" t="s">
        <v>112</v>
      </c>
      <c r="F14" s="71" t="s">
        <v>113</v>
      </c>
      <c r="G14" s="71" t="s">
        <v>114</v>
      </c>
      <c r="H14" s="71" t="s">
        <v>115</v>
      </c>
      <c r="I14" s="71" t="s">
        <v>116</v>
      </c>
      <c r="J14" s="71" t="s">
        <v>117</v>
      </c>
    </row>
    <row r="15" spans="1:10" ht="18" customHeight="1" x14ac:dyDescent="0.25">
      <c r="A15" s="69"/>
      <c r="B15" s="69"/>
      <c r="C15" s="69"/>
      <c r="D15" s="69"/>
      <c r="E15" s="69"/>
      <c r="F15" s="69"/>
      <c r="G15" s="69"/>
      <c r="H15" s="69"/>
      <c r="I15" s="69"/>
      <c r="J15" s="69"/>
    </row>
    <row r="16" spans="1:10" ht="18" customHeight="1" x14ac:dyDescent="0.25">
      <c r="A16" s="75" t="str">
        <f t="shared" ref="A16:A51" si="0">IF(B16&lt;=$H$7,"PAID","PENDING")</f>
        <v>PAID</v>
      </c>
      <c r="B16" s="78">
        <v>1</v>
      </c>
      <c r="C16" s="77">
        <f>'MAIN-LEXUS-FAISAL'!H11</f>
        <v>45870</v>
      </c>
      <c r="D16" s="80">
        <f t="shared" ref="D16:D51" si="1">E16+F16</f>
        <v>4706</v>
      </c>
      <c r="E16" s="80">
        <f t="shared" ref="E16:E50" si="2">ROUND($H$6-F16,2)</f>
        <v>3658.63</v>
      </c>
      <c r="F16" s="80">
        <f t="shared" ref="F16:F50" si="3">ROUND(G16*$H$11,2)</f>
        <v>1047.3699999999999</v>
      </c>
      <c r="G16" s="80">
        <f>$E$7</f>
        <v>149250</v>
      </c>
      <c r="H16" s="80">
        <f t="shared" ref="H16:H51" si="4">ROUND(G16-E16,2)</f>
        <v>145591.37</v>
      </c>
      <c r="I16" s="72">
        <f>31</f>
        <v>31</v>
      </c>
      <c r="J16" s="72"/>
    </row>
    <row r="17" spans="1:10" ht="18" customHeight="1" x14ac:dyDescent="0.25">
      <c r="A17" s="75" t="str">
        <f t="shared" si="0"/>
        <v>PAID</v>
      </c>
      <c r="B17" s="78">
        <v>2</v>
      </c>
      <c r="C17" s="77">
        <f>'MAIN-LEXUS-FAISAL'!H12</f>
        <v>45901</v>
      </c>
      <c r="D17" s="80">
        <f t="shared" si="1"/>
        <v>4706</v>
      </c>
      <c r="E17" s="80">
        <f t="shared" si="2"/>
        <v>3684.3</v>
      </c>
      <c r="F17" s="80">
        <f t="shared" si="3"/>
        <v>1021.7</v>
      </c>
      <c r="G17" s="80">
        <f t="shared" ref="G17:G51" si="5">H16</f>
        <v>145591.37</v>
      </c>
      <c r="H17" s="80">
        <f t="shared" si="4"/>
        <v>141907.07</v>
      </c>
      <c r="I17" s="72">
        <f t="shared" ref="I17:I51" si="6">C17-C16</f>
        <v>31</v>
      </c>
      <c r="J17" s="72"/>
    </row>
    <row r="18" spans="1:10" ht="18" customHeight="1" x14ac:dyDescent="0.25">
      <c r="A18" s="75" t="str">
        <f t="shared" si="0"/>
        <v>PAID</v>
      </c>
      <c r="B18" s="78">
        <v>3</v>
      </c>
      <c r="C18" s="77">
        <f>'MAIN-LEXUS-FAISAL'!H13</f>
        <v>45931</v>
      </c>
      <c r="D18" s="80">
        <f t="shared" si="1"/>
        <v>4706</v>
      </c>
      <c r="E18" s="80">
        <f t="shared" si="2"/>
        <v>3710.16</v>
      </c>
      <c r="F18" s="80">
        <f t="shared" si="3"/>
        <v>995.84</v>
      </c>
      <c r="G18" s="80">
        <f t="shared" si="5"/>
        <v>141907.07</v>
      </c>
      <c r="H18" s="80">
        <f t="shared" si="4"/>
        <v>138196.91</v>
      </c>
      <c r="I18" s="72">
        <f t="shared" si="6"/>
        <v>30</v>
      </c>
      <c r="J18" s="72"/>
    </row>
    <row r="19" spans="1:10" ht="18" customHeight="1" x14ac:dyDescent="0.25">
      <c r="A19" s="75" t="str">
        <f t="shared" si="0"/>
        <v>PAID</v>
      </c>
      <c r="B19" s="78">
        <v>4</v>
      </c>
      <c r="C19" s="77">
        <f>'MAIN-LEXUS-FAISAL'!H14</f>
        <v>45962</v>
      </c>
      <c r="D19" s="80">
        <f t="shared" si="1"/>
        <v>4706</v>
      </c>
      <c r="E19" s="80">
        <f t="shared" si="2"/>
        <v>3736.19</v>
      </c>
      <c r="F19" s="80">
        <f t="shared" si="3"/>
        <v>969.81</v>
      </c>
      <c r="G19" s="80">
        <f t="shared" si="5"/>
        <v>138196.91</v>
      </c>
      <c r="H19" s="80">
        <f t="shared" si="4"/>
        <v>134460.72</v>
      </c>
      <c r="I19" s="72">
        <f t="shared" si="6"/>
        <v>31</v>
      </c>
      <c r="J19" s="72"/>
    </row>
    <row r="20" spans="1:10" ht="18" customHeight="1" x14ac:dyDescent="0.25">
      <c r="A20" s="75" t="str">
        <f t="shared" si="0"/>
        <v>PAID</v>
      </c>
      <c r="B20" s="78">
        <v>5</v>
      </c>
      <c r="C20" s="77">
        <f>'MAIN-LEXUS-FAISAL'!H15</f>
        <v>45992</v>
      </c>
      <c r="D20" s="80">
        <f t="shared" si="1"/>
        <v>4706</v>
      </c>
      <c r="E20" s="80">
        <f t="shared" si="2"/>
        <v>3762.41</v>
      </c>
      <c r="F20" s="80">
        <f t="shared" si="3"/>
        <v>943.59</v>
      </c>
      <c r="G20" s="80">
        <f t="shared" si="5"/>
        <v>134460.72</v>
      </c>
      <c r="H20" s="80">
        <f t="shared" si="4"/>
        <v>130698.31</v>
      </c>
      <c r="I20" s="72">
        <f t="shared" si="6"/>
        <v>30</v>
      </c>
      <c r="J20" s="72"/>
    </row>
    <row r="21" spans="1:10" ht="18" customHeight="1" x14ac:dyDescent="0.25">
      <c r="A21" s="75" t="str">
        <f t="shared" si="0"/>
        <v>PAID</v>
      </c>
      <c r="B21" s="78">
        <v>6</v>
      </c>
      <c r="C21" s="77">
        <f>'MAIN-LEXUS-FAISAL'!H16</f>
        <v>46023</v>
      </c>
      <c r="D21" s="80">
        <f t="shared" si="1"/>
        <v>4706</v>
      </c>
      <c r="E21" s="80">
        <f t="shared" si="2"/>
        <v>3788.81</v>
      </c>
      <c r="F21" s="80">
        <f t="shared" si="3"/>
        <v>917.19</v>
      </c>
      <c r="G21" s="80">
        <f t="shared" si="5"/>
        <v>130698.31</v>
      </c>
      <c r="H21" s="80">
        <f t="shared" si="4"/>
        <v>126909.5</v>
      </c>
      <c r="I21" s="72">
        <f t="shared" si="6"/>
        <v>31</v>
      </c>
      <c r="J21" s="72"/>
    </row>
    <row r="22" spans="1:10" ht="18" customHeight="1" x14ac:dyDescent="0.25">
      <c r="A22" s="75" t="str">
        <f t="shared" si="0"/>
        <v>PAID</v>
      </c>
      <c r="B22" s="78">
        <v>7</v>
      </c>
      <c r="C22" s="77">
        <f>'MAIN-LEXUS-FAISAL'!H17</f>
        <v>46054</v>
      </c>
      <c r="D22" s="80">
        <f t="shared" si="1"/>
        <v>4706</v>
      </c>
      <c r="E22" s="80">
        <f t="shared" si="2"/>
        <v>3815.4</v>
      </c>
      <c r="F22" s="80">
        <f t="shared" si="3"/>
        <v>890.6</v>
      </c>
      <c r="G22" s="80">
        <f t="shared" si="5"/>
        <v>126909.5</v>
      </c>
      <c r="H22" s="80">
        <f t="shared" si="4"/>
        <v>123094.1</v>
      </c>
      <c r="I22" s="72">
        <f t="shared" si="6"/>
        <v>31</v>
      </c>
      <c r="J22" s="72"/>
    </row>
    <row r="23" spans="1:10" ht="18" customHeight="1" x14ac:dyDescent="0.25">
      <c r="A23" s="75" t="str">
        <f t="shared" si="0"/>
        <v>PAID</v>
      </c>
      <c r="B23" s="78">
        <v>8</v>
      </c>
      <c r="C23" s="77">
        <f>'MAIN-LEXUS-FAISAL'!H18</f>
        <v>46082</v>
      </c>
      <c r="D23" s="80">
        <f t="shared" si="1"/>
        <v>4706</v>
      </c>
      <c r="E23" s="80">
        <f t="shared" si="2"/>
        <v>3842.18</v>
      </c>
      <c r="F23" s="80">
        <f t="shared" si="3"/>
        <v>863.82</v>
      </c>
      <c r="G23" s="80">
        <f t="shared" si="5"/>
        <v>123094.1</v>
      </c>
      <c r="H23" s="80">
        <f t="shared" si="4"/>
        <v>119251.92</v>
      </c>
      <c r="I23" s="72">
        <f t="shared" si="6"/>
        <v>28</v>
      </c>
      <c r="J23" s="72"/>
    </row>
    <row r="24" spans="1:10" ht="18" customHeight="1" x14ac:dyDescent="0.25">
      <c r="A24" s="75" t="str">
        <f t="shared" si="0"/>
        <v>PAID</v>
      </c>
      <c r="B24" s="78">
        <v>9</v>
      </c>
      <c r="C24" s="77">
        <f>'MAIN-LEXUS-FAISAL'!H19</f>
        <v>46113</v>
      </c>
      <c r="D24" s="80">
        <f t="shared" si="1"/>
        <v>4706</v>
      </c>
      <c r="E24" s="80">
        <f t="shared" si="2"/>
        <v>3869.14</v>
      </c>
      <c r="F24" s="80">
        <f t="shared" si="3"/>
        <v>836.86</v>
      </c>
      <c r="G24" s="80">
        <f t="shared" si="5"/>
        <v>119251.92</v>
      </c>
      <c r="H24" s="80">
        <f t="shared" si="4"/>
        <v>115382.78</v>
      </c>
      <c r="I24" s="72">
        <f t="shared" si="6"/>
        <v>31</v>
      </c>
      <c r="J24" s="72"/>
    </row>
    <row r="25" spans="1:10" ht="18" customHeight="1" x14ac:dyDescent="0.25">
      <c r="A25" s="75" t="str">
        <f t="shared" si="0"/>
        <v>PAID</v>
      </c>
      <c r="B25" s="78">
        <v>10</v>
      </c>
      <c r="C25" s="77">
        <f>'MAIN-LEXUS-FAISAL'!H20</f>
        <v>46143</v>
      </c>
      <c r="D25" s="80">
        <f t="shared" si="1"/>
        <v>4706</v>
      </c>
      <c r="E25" s="80">
        <f t="shared" si="2"/>
        <v>3896.29</v>
      </c>
      <c r="F25" s="80">
        <f t="shared" si="3"/>
        <v>809.71</v>
      </c>
      <c r="G25" s="80">
        <f t="shared" si="5"/>
        <v>115382.78</v>
      </c>
      <c r="H25" s="80">
        <f t="shared" si="4"/>
        <v>111486.49</v>
      </c>
      <c r="I25" s="72">
        <f t="shared" si="6"/>
        <v>30</v>
      </c>
      <c r="J25" s="72"/>
    </row>
    <row r="26" spans="1:10" ht="18" customHeight="1" x14ac:dyDescent="0.25">
      <c r="A26" s="75" t="str">
        <f t="shared" si="0"/>
        <v>PAID</v>
      </c>
      <c r="B26" s="78">
        <v>11</v>
      </c>
      <c r="C26" s="77">
        <f>'MAIN-LEXUS-FAISAL'!H21</f>
        <v>46174</v>
      </c>
      <c r="D26" s="80">
        <f t="shared" si="1"/>
        <v>4706</v>
      </c>
      <c r="E26" s="80">
        <f t="shared" si="2"/>
        <v>3923.63</v>
      </c>
      <c r="F26" s="80">
        <f t="shared" si="3"/>
        <v>782.37</v>
      </c>
      <c r="G26" s="80">
        <f t="shared" si="5"/>
        <v>111486.49</v>
      </c>
      <c r="H26" s="80">
        <f t="shared" si="4"/>
        <v>107562.86</v>
      </c>
      <c r="I26" s="72">
        <f t="shared" si="6"/>
        <v>31</v>
      </c>
      <c r="J26" s="72"/>
    </row>
    <row r="27" spans="1:10" ht="18" customHeight="1" x14ac:dyDescent="0.25">
      <c r="A27" s="75" t="str">
        <f t="shared" si="0"/>
        <v>PAID</v>
      </c>
      <c r="B27" s="78">
        <v>12</v>
      </c>
      <c r="C27" s="77">
        <f>'MAIN-LEXUS-FAISAL'!H22</f>
        <v>46204</v>
      </c>
      <c r="D27" s="80">
        <f t="shared" si="1"/>
        <v>4706</v>
      </c>
      <c r="E27" s="80">
        <f t="shared" si="2"/>
        <v>3951.17</v>
      </c>
      <c r="F27" s="80">
        <f t="shared" si="3"/>
        <v>754.83</v>
      </c>
      <c r="G27" s="80">
        <f t="shared" si="5"/>
        <v>107562.86</v>
      </c>
      <c r="H27" s="80">
        <f t="shared" si="4"/>
        <v>103611.69</v>
      </c>
      <c r="I27" s="72">
        <f t="shared" si="6"/>
        <v>30</v>
      </c>
      <c r="J27" s="72"/>
    </row>
    <row r="28" spans="1:10" ht="18" customHeight="1" x14ac:dyDescent="0.25">
      <c r="A28" s="76" t="str">
        <f t="shared" si="0"/>
        <v>PENDING</v>
      </c>
      <c r="B28" s="78">
        <v>13</v>
      </c>
      <c r="C28" s="77">
        <f>'MAIN-LEXUS-FAISAL'!H23</f>
        <v>46235</v>
      </c>
      <c r="D28" s="80">
        <f t="shared" si="1"/>
        <v>4706</v>
      </c>
      <c r="E28" s="80">
        <f t="shared" si="2"/>
        <v>3978.9</v>
      </c>
      <c r="F28" s="80">
        <f t="shared" si="3"/>
        <v>727.1</v>
      </c>
      <c r="G28" s="80">
        <f t="shared" si="5"/>
        <v>103611.69</v>
      </c>
      <c r="H28" s="80">
        <f t="shared" si="4"/>
        <v>99632.79</v>
      </c>
      <c r="I28" s="72">
        <f t="shared" si="6"/>
        <v>31</v>
      </c>
      <c r="J28" s="72"/>
    </row>
    <row r="29" spans="1:10" ht="18" customHeight="1" x14ac:dyDescent="0.25">
      <c r="A29" s="76" t="str">
        <f t="shared" si="0"/>
        <v>PENDING</v>
      </c>
      <c r="B29" s="78">
        <v>14</v>
      </c>
      <c r="C29" s="77">
        <f>'MAIN-LEXUS-FAISAL'!H24</f>
        <v>46266</v>
      </c>
      <c r="D29" s="80">
        <f t="shared" si="1"/>
        <v>4706</v>
      </c>
      <c r="E29" s="80">
        <f t="shared" si="2"/>
        <v>4006.82</v>
      </c>
      <c r="F29" s="80">
        <f t="shared" si="3"/>
        <v>699.18</v>
      </c>
      <c r="G29" s="80">
        <f t="shared" si="5"/>
        <v>99632.79</v>
      </c>
      <c r="H29" s="80">
        <f t="shared" si="4"/>
        <v>95625.97</v>
      </c>
      <c r="I29" s="72">
        <f t="shared" si="6"/>
        <v>31</v>
      </c>
      <c r="J29" s="72"/>
    </row>
    <row r="30" spans="1:10" ht="18" customHeight="1" x14ac:dyDescent="0.25">
      <c r="A30" s="76" t="str">
        <f t="shared" si="0"/>
        <v>PENDING</v>
      </c>
      <c r="B30" s="78">
        <v>15</v>
      </c>
      <c r="C30" s="77">
        <f>'MAIN-LEXUS-FAISAL'!H25</f>
        <v>46296</v>
      </c>
      <c r="D30" s="80">
        <f t="shared" si="1"/>
        <v>4706</v>
      </c>
      <c r="E30" s="80">
        <f t="shared" si="2"/>
        <v>4034.94</v>
      </c>
      <c r="F30" s="80">
        <f t="shared" si="3"/>
        <v>671.06</v>
      </c>
      <c r="G30" s="80">
        <f t="shared" si="5"/>
        <v>95625.97</v>
      </c>
      <c r="H30" s="80">
        <f t="shared" si="4"/>
        <v>91591.03</v>
      </c>
      <c r="I30" s="72">
        <f t="shared" si="6"/>
        <v>30</v>
      </c>
      <c r="J30" s="72"/>
    </row>
    <row r="31" spans="1:10" ht="18" customHeight="1" x14ac:dyDescent="0.25">
      <c r="A31" s="76" t="str">
        <f t="shared" si="0"/>
        <v>PENDING</v>
      </c>
      <c r="B31" s="78">
        <v>16</v>
      </c>
      <c r="C31" s="77">
        <f>'MAIN-LEXUS-FAISAL'!H26</f>
        <v>46327</v>
      </c>
      <c r="D31" s="80">
        <f t="shared" si="1"/>
        <v>4706</v>
      </c>
      <c r="E31" s="80">
        <f t="shared" si="2"/>
        <v>4063.25</v>
      </c>
      <c r="F31" s="80">
        <f t="shared" si="3"/>
        <v>642.75</v>
      </c>
      <c r="G31" s="80">
        <f t="shared" si="5"/>
        <v>91591.03</v>
      </c>
      <c r="H31" s="80">
        <f t="shared" si="4"/>
        <v>87527.78</v>
      </c>
      <c r="I31" s="72">
        <f t="shared" si="6"/>
        <v>31</v>
      </c>
      <c r="J31" s="72"/>
    </row>
    <row r="32" spans="1:10" ht="18" customHeight="1" x14ac:dyDescent="0.25">
      <c r="A32" s="76" t="str">
        <f t="shared" si="0"/>
        <v>PENDING</v>
      </c>
      <c r="B32" s="78">
        <v>17</v>
      </c>
      <c r="C32" s="77">
        <f>'MAIN-LEXUS-FAISAL'!H27</f>
        <v>46357</v>
      </c>
      <c r="D32" s="80">
        <f t="shared" si="1"/>
        <v>4706</v>
      </c>
      <c r="E32" s="80">
        <f t="shared" si="2"/>
        <v>4091.77</v>
      </c>
      <c r="F32" s="80">
        <f t="shared" si="3"/>
        <v>614.23</v>
      </c>
      <c r="G32" s="80">
        <f t="shared" si="5"/>
        <v>87527.78</v>
      </c>
      <c r="H32" s="80">
        <f t="shared" si="4"/>
        <v>83436.009999999995</v>
      </c>
      <c r="I32" s="72">
        <f t="shared" si="6"/>
        <v>30</v>
      </c>
      <c r="J32" s="72"/>
    </row>
    <row r="33" spans="1:10" ht="18" customHeight="1" x14ac:dyDescent="0.25">
      <c r="A33" s="76" t="str">
        <f t="shared" si="0"/>
        <v>PENDING</v>
      </c>
      <c r="B33" s="78">
        <v>18</v>
      </c>
      <c r="C33" s="77">
        <f>'MAIN-LEXUS-FAISAL'!H28</f>
        <v>46388</v>
      </c>
      <c r="D33" s="80">
        <f t="shared" si="1"/>
        <v>4706</v>
      </c>
      <c r="E33" s="80">
        <f t="shared" si="2"/>
        <v>4120.4799999999996</v>
      </c>
      <c r="F33" s="80">
        <f t="shared" si="3"/>
        <v>585.52</v>
      </c>
      <c r="G33" s="80">
        <f t="shared" si="5"/>
        <v>83436.009999999995</v>
      </c>
      <c r="H33" s="80">
        <f t="shared" si="4"/>
        <v>79315.53</v>
      </c>
      <c r="I33" s="72">
        <f t="shared" si="6"/>
        <v>31</v>
      </c>
      <c r="J33" s="72"/>
    </row>
    <row r="34" spans="1:10" ht="18" customHeight="1" x14ac:dyDescent="0.25">
      <c r="A34" s="76" t="str">
        <f t="shared" si="0"/>
        <v>PENDING</v>
      </c>
      <c r="B34" s="78">
        <v>19</v>
      </c>
      <c r="C34" s="77">
        <f>'MAIN-LEXUS-FAISAL'!H29</f>
        <v>46419</v>
      </c>
      <c r="D34" s="80">
        <f t="shared" si="1"/>
        <v>4706</v>
      </c>
      <c r="E34" s="80">
        <f t="shared" si="2"/>
        <v>4149.3999999999996</v>
      </c>
      <c r="F34" s="80">
        <f t="shared" si="3"/>
        <v>556.6</v>
      </c>
      <c r="G34" s="80">
        <f t="shared" si="5"/>
        <v>79315.53</v>
      </c>
      <c r="H34" s="80">
        <f t="shared" si="4"/>
        <v>75166.13</v>
      </c>
      <c r="I34" s="72">
        <f t="shared" si="6"/>
        <v>31</v>
      </c>
      <c r="J34" s="72"/>
    </row>
    <row r="35" spans="1:10" ht="18" customHeight="1" x14ac:dyDescent="0.25">
      <c r="A35" s="76" t="str">
        <f t="shared" si="0"/>
        <v>PENDING</v>
      </c>
      <c r="B35" s="78">
        <v>20</v>
      </c>
      <c r="C35" s="77">
        <f>'MAIN-LEXUS-FAISAL'!H30</f>
        <v>46447</v>
      </c>
      <c r="D35" s="80">
        <f t="shared" si="1"/>
        <v>4706</v>
      </c>
      <c r="E35" s="80">
        <f t="shared" si="2"/>
        <v>4178.5200000000004</v>
      </c>
      <c r="F35" s="80">
        <f t="shared" si="3"/>
        <v>527.48</v>
      </c>
      <c r="G35" s="80">
        <f t="shared" si="5"/>
        <v>75166.13</v>
      </c>
      <c r="H35" s="80">
        <f t="shared" si="4"/>
        <v>70987.61</v>
      </c>
      <c r="I35" s="72">
        <f t="shared" si="6"/>
        <v>28</v>
      </c>
      <c r="J35" s="72"/>
    </row>
    <row r="36" spans="1:10" ht="18" customHeight="1" x14ac:dyDescent="0.25">
      <c r="A36" s="76" t="str">
        <f t="shared" si="0"/>
        <v>PENDING</v>
      </c>
      <c r="B36" s="78">
        <v>21</v>
      </c>
      <c r="C36" s="77">
        <f>'MAIN-LEXUS-FAISAL'!H31</f>
        <v>46478</v>
      </c>
      <c r="D36" s="80">
        <f t="shared" si="1"/>
        <v>4706</v>
      </c>
      <c r="E36" s="80">
        <f t="shared" si="2"/>
        <v>4207.84</v>
      </c>
      <c r="F36" s="80">
        <f t="shared" si="3"/>
        <v>498.16</v>
      </c>
      <c r="G36" s="80">
        <f t="shared" si="5"/>
        <v>70987.61</v>
      </c>
      <c r="H36" s="80">
        <f t="shared" si="4"/>
        <v>66779.77</v>
      </c>
      <c r="I36" s="72">
        <f t="shared" si="6"/>
        <v>31</v>
      </c>
      <c r="J36" s="72"/>
    </row>
    <row r="37" spans="1:10" ht="18" customHeight="1" x14ac:dyDescent="0.25">
      <c r="A37" s="76" t="str">
        <f t="shared" si="0"/>
        <v>PENDING</v>
      </c>
      <c r="B37" s="78">
        <v>22</v>
      </c>
      <c r="C37" s="77">
        <f>'MAIN-LEXUS-FAISAL'!H32</f>
        <v>46508</v>
      </c>
      <c r="D37" s="80">
        <f t="shared" si="1"/>
        <v>4706</v>
      </c>
      <c r="E37" s="80">
        <f t="shared" si="2"/>
        <v>4237.37</v>
      </c>
      <c r="F37" s="80">
        <f t="shared" si="3"/>
        <v>468.63</v>
      </c>
      <c r="G37" s="80">
        <f t="shared" si="5"/>
        <v>66779.77</v>
      </c>
      <c r="H37" s="80">
        <f t="shared" si="4"/>
        <v>62542.400000000001</v>
      </c>
      <c r="I37" s="72">
        <f t="shared" si="6"/>
        <v>30</v>
      </c>
      <c r="J37" s="72"/>
    </row>
    <row r="38" spans="1:10" ht="18" customHeight="1" x14ac:dyDescent="0.25">
      <c r="A38" s="76" t="str">
        <f t="shared" si="0"/>
        <v>PENDING</v>
      </c>
      <c r="B38" s="78">
        <v>23</v>
      </c>
      <c r="C38" s="77">
        <f>'MAIN-LEXUS-FAISAL'!H33</f>
        <v>46539</v>
      </c>
      <c r="D38" s="80">
        <f t="shared" si="1"/>
        <v>4706</v>
      </c>
      <c r="E38" s="80">
        <f t="shared" si="2"/>
        <v>4267.1000000000004</v>
      </c>
      <c r="F38" s="80">
        <f t="shared" si="3"/>
        <v>438.9</v>
      </c>
      <c r="G38" s="80">
        <f t="shared" si="5"/>
        <v>62542.400000000001</v>
      </c>
      <c r="H38" s="80">
        <f t="shared" si="4"/>
        <v>58275.3</v>
      </c>
      <c r="I38" s="72">
        <f t="shared" si="6"/>
        <v>31</v>
      </c>
      <c r="J38" s="72"/>
    </row>
    <row r="39" spans="1:10" ht="18" customHeight="1" x14ac:dyDescent="0.25">
      <c r="A39" s="76" t="str">
        <f t="shared" si="0"/>
        <v>PENDING</v>
      </c>
      <c r="B39" s="78">
        <v>24</v>
      </c>
      <c r="C39" s="77">
        <f>'MAIN-LEXUS-FAISAL'!H34</f>
        <v>46569</v>
      </c>
      <c r="D39" s="80">
        <f t="shared" si="1"/>
        <v>4706</v>
      </c>
      <c r="E39" s="80">
        <f t="shared" si="2"/>
        <v>4297.05</v>
      </c>
      <c r="F39" s="80">
        <f t="shared" si="3"/>
        <v>408.95</v>
      </c>
      <c r="G39" s="80">
        <f t="shared" si="5"/>
        <v>58275.3</v>
      </c>
      <c r="H39" s="80">
        <f t="shared" si="4"/>
        <v>53978.25</v>
      </c>
      <c r="I39" s="72">
        <f t="shared" si="6"/>
        <v>30</v>
      </c>
      <c r="J39" s="72"/>
    </row>
    <row r="40" spans="1:10" ht="18" customHeight="1" x14ac:dyDescent="0.25">
      <c r="A40" s="76" t="str">
        <f t="shared" si="0"/>
        <v>PENDING</v>
      </c>
      <c r="B40" s="78">
        <v>25</v>
      </c>
      <c r="C40" s="77">
        <f>'MAIN-LEXUS-FAISAL'!H35</f>
        <v>46600</v>
      </c>
      <c r="D40" s="80">
        <f t="shared" si="1"/>
        <v>4706</v>
      </c>
      <c r="E40" s="80">
        <f t="shared" si="2"/>
        <v>4327.2</v>
      </c>
      <c r="F40" s="80">
        <f t="shared" si="3"/>
        <v>378.8</v>
      </c>
      <c r="G40" s="80">
        <f t="shared" si="5"/>
        <v>53978.25</v>
      </c>
      <c r="H40" s="80">
        <f t="shared" si="4"/>
        <v>49651.05</v>
      </c>
      <c r="I40" s="72">
        <f t="shared" si="6"/>
        <v>31</v>
      </c>
      <c r="J40" s="72"/>
    </row>
    <row r="41" spans="1:10" ht="18" customHeight="1" x14ac:dyDescent="0.25">
      <c r="A41" s="76" t="str">
        <f t="shared" si="0"/>
        <v>PENDING</v>
      </c>
      <c r="B41" s="78">
        <v>26</v>
      </c>
      <c r="C41" s="77">
        <f>'MAIN-LEXUS-FAISAL'!H36</f>
        <v>46631</v>
      </c>
      <c r="D41" s="80">
        <f t="shared" si="1"/>
        <v>4706</v>
      </c>
      <c r="E41" s="80">
        <f t="shared" si="2"/>
        <v>4357.57</v>
      </c>
      <c r="F41" s="80">
        <f t="shared" si="3"/>
        <v>348.43</v>
      </c>
      <c r="G41" s="80">
        <f t="shared" si="5"/>
        <v>49651.05</v>
      </c>
      <c r="H41" s="80">
        <f t="shared" si="4"/>
        <v>45293.48</v>
      </c>
      <c r="I41" s="72">
        <f t="shared" si="6"/>
        <v>31</v>
      </c>
      <c r="J41" s="72"/>
    </row>
    <row r="42" spans="1:10" ht="18" customHeight="1" x14ac:dyDescent="0.25">
      <c r="A42" s="76" t="str">
        <f t="shared" si="0"/>
        <v>PENDING</v>
      </c>
      <c r="B42" s="78">
        <v>27</v>
      </c>
      <c r="C42" s="77">
        <f>'MAIN-LEXUS-FAISAL'!H37</f>
        <v>46661</v>
      </c>
      <c r="D42" s="80">
        <f t="shared" si="1"/>
        <v>4706</v>
      </c>
      <c r="E42" s="80">
        <f t="shared" si="2"/>
        <v>4388.1499999999996</v>
      </c>
      <c r="F42" s="80">
        <f t="shared" si="3"/>
        <v>317.85000000000002</v>
      </c>
      <c r="G42" s="80">
        <f t="shared" si="5"/>
        <v>45293.48</v>
      </c>
      <c r="H42" s="80">
        <f t="shared" si="4"/>
        <v>40905.33</v>
      </c>
      <c r="I42" s="72">
        <f t="shared" si="6"/>
        <v>30</v>
      </c>
      <c r="J42" s="72"/>
    </row>
    <row r="43" spans="1:10" ht="18" customHeight="1" x14ac:dyDescent="0.25">
      <c r="A43" s="76" t="str">
        <f t="shared" si="0"/>
        <v>PENDING</v>
      </c>
      <c r="B43" s="78">
        <v>28</v>
      </c>
      <c r="C43" s="77">
        <f>'MAIN-LEXUS-FAISAL'!H38</f>
        <v>46692</v>
      </c>
      <c r="D43" s="80">
        <f t="shared" si="1"/>
        <v>4706</v>
      </c>
      <c r="E43" s="80">
        <f t="shared" si="2"/>
        <v>4418.9399999999996</v>
      </c>
      <c r="F43" s="80">
        <f t="shared" si="3"/>
        <v>287.06</v>
      </c>
      <c r="G43" s="80">
        <f t="shared" si="5"/>
        <v>40905.33</v>
      </c>
      <c r="H43" s="80">
        <f t="shared" si="4"/>
        <v>36486.39</v>
      </c>
      <c r="I43" s="72">
        <f t="shared" si="6"/>
        <v>31</v>
      </c>
      <c r="J43" s="72"/>
    </row>
    <row r="44" spans="1:10" ht="18" customHeight="1" x14ac:dyDescent="0.25">
      <c r="A44" s="76" t="str">
        <f t="shared" si="0"/>
        <v>PENDING</v>
      </c>
      <c r="B44" s="78">
        <v>29</v>
      </c>
      <c r="C44" s="77">
        <f>'MAIN-LEXUS-FAISAL'!H39</f>
        <v>46722</v>
      </c>
      <c r="D44" s="80">
        <f t="shared" si="1"/>
        <v>4706</v>
      </c>
      <c r="E44" s="80">
        <f t="shared" si="2"/>
        <v>4449.95</v>
      </c>
      <c r="F44" s="80">
        <f t="shared" si="3"/>
        <v>256.05</v>
      </c>
      <c r="G44" s="80">
        <f t="shared" si="5"/>
        <v>36486.39</v>
      </c>
      <c r="H44" s="80">
        <f t="shared" si="4"/>
        <v>32036.44</v>
      </c>
      <c r="I44" s="72">
        <f t="shared" si="6"/>
        <v>30</v>
      </c>
      <c r="J44" s="72"/>
    </row>
    <row r="45" spans="1:10" ht="18" customHeight="1" x14ac:dyDescent="0.25">
      <c r="A45" s="76" t="str">
        <f t="shared" si="0"/>
        <v>PENDING</v>
      </c>
      <c r="B45" s="78">
        <v>30</v>
      </c>
      <c r="C45" s="77">
        <f>'MAIN-LEXUS-FAISAL'!H40</f>
        <v>46753</v>
      </c>
      <c r="D45" s="80">
        <f t="shared" si="1"/>
        <v>4706</v>
      </c>
      <c r="E45" s="80">
        <f t="shared" si="2"/>
        <v>4481.18</v>
      </c>
      <c r="F45" s="80">
        <f t="shared" si="3"/>
        <v>224.82</v>
      </c>
      <c r="G45" s="80">
        <f t="shared" si="5"/>
        <v>32036.44</v>
      </c>
      <c r="H45" s="80">
        <f t="shared" si="4"/>
        <v>27555.26</v>
      </c>
      <c r="I45" s="72">
        <f t="shared" si="6"/>
        <v>31</v>
      </c>
      <c r="J45" s="72"/>
    </row>
    <row r="46" spans="1:10" ht="18" customHeight="1" x14ac:dyDescent="0.25">
      <c r="A46" s="76" t="str">
        <f t="shared" si="0"/>
        <v>PENDING</v>
      </c>
      <c r="B46" s="78">
        <v>31</v>
      </c>
      <c r="C46" s="77">
        <f>'MAIN-LEXUS-FAISAL'!H41</f>
        <v>46784</v>
      </c>
      <c r="D46" s="80">
        <f t="shared" si="1"/>
        <v>4706</v>
      </c>
      <c r="E46" s="80">
        <f t="shared" si="2"/>
        <v>4512.63</v>
      </c>
      <c r="F46" s="80">
        <f t="shared" si="3"/>
        <v>193.37</v>
      </c>
      <c r="G46" s="80">
        <f t="shared" si="5"/>
        <v>27555.26</v>
      </c>
      <c r="H46" s="80">
        <f t="shared" si="4"/>
        <v>23042.63</v>
      </c>
      <c r="I46" s="72">
        <f t="shared" si="6"/>
        <v>31</v>
      </c>
      <c r="J46" s="72"/>
    </row>
    <row r="47" spans="1:10" ht="18" customHeight="1" x14ac:dyDescent="0.25">
      <c r="A47" s="76" t="str">
        <f t="shared" si="0"/>
        <v>PENDING</v>
      </c>
      <c r="B47" s="78">
        <v>32</v>
      </c>
      <c r="C47" s="77">
        <f>'MAIN-LEXUS-FAISAL'!H42</f>
        <v>46813</v>
      </c>
      <c r="D47" s="80">
        <f t="shared" si="1"/>
        <v>4706</v>
      </c>
      <c r="E47" s="80">
        <f t="shared" si="2"/>
        <v>4544.3</v>
      </c>
      <c r="F47" s="80">
        <f t="shared" si="3"/>
        <v>161.69999999999999</v>
      </c>
      <c r="G47" s="80">
        <f t="shared" si="5"/>
        <v>23042.63</v>
      </c>
      <c r="H47" s="80">
        <f t="shared" si="4"/>
        <v>18498.330000000002</v>
      </c>
      <c r="I47" s="72">
        <f t="shared" si="6"/>
        <v>29</v>
      </c>
      <c r="J47" s="72"/>
    </row>
    <row r="48" spans="1:10" ht="18" customHeight="1" x14ac:dyDescent="0.25">
      <c r="A48" s="76" t="str">
        <f t="shared" si="0"/>
        <v>PENDING</v>
      </c>
      <c r="B48" s="78">
        <v>33</v>
      </c>
      <c r="C48" s="77">
        <f>'MAIN-LEXUS-FAISAL'!H43</f>
        <v>46844</v>
      </c>
      <c r="D48" s="80">
        <f t="shared" si="1"/>
        <v>4706</v>
      </c>
      <c r="E48" s="80">
        <f t="shared" si="2"/>
        <v>4576.1899999999996</v>
      </c>
      <c r="F48" s="80">
        <f t="shared" si="3"/>
        <v>129.81</v>
      </c>
      <c r="G48" s="80">
        <f t="shared" si="5"/>
        <v>18498.330000000002</v>
      </c>
      <c r="H48" s="80">
        <f t="shared" si="4"/>
        <v>13922.14</v>
      </c>
      <c r="I48" s="72">
        <f t="shared" si="6"/>
        <v>31</v>
      </c>
      <c r="J48" s="72"/>
    </row>
    <row r="49" spans="1:10" ht="18" customHeight="1" x14ac:dyDescent="0.25">
      <c r="A49" s="76" t="str">
        <f t="shared" si="0"/>
        <v>PENDING</v>
      </c>
      <c r="B49" s="78">
        <v>34</v>
      </c>
      <c r="C49" s="77">
        <f>'MAIN-LEXUS-FAISAL'!H44</f>
        <v>46874</v>
      </c>
      <c r="D49" s="80">
        <f t="shared" si="1"/>
        <v>4706</v>
      </c>
      <c r="E49" s="80">
        <f t="shared" si="2"/>
        <v>4608.3</v>
      </c>
      <c r="F49" s="80">
        <f t="shared" si="3"/>
        <v>97.7</v>
      </c>
      <c r="G49" s="80">
        <f t="shared" si="5"/>
        <v>13922.14</v>
      </c>
      <c r="H49" s="80">
        <f t="shared" si="4"/>
        <v>9313.84</v>
      </c>
      <c r="I49" s="72">
        <f t="shared" si="6"/>
        <v>30</v>
      </c>
      <c r="J49" s="72"/>
    </row>
    <row r="50" spans="1:10" ht="18" customHeight="1" x14ac:dyDescent="0.25">
      <c r="A50" s="76" t="str">
        <f t="shared" si="0"/>
        <v>PENDING</v>
      </c>
      <c r="B50" s="78">
        <v>35</v>
      </c>
      <c r="C50" s="77">
        <f>'MAIN-LEXUS-FAISAL'!H45</f>
        <v>46905</v>
      </c>
      <c r="D50" s="80">
        <f t="shared" si="1"/>
        <v>4706</v>
      </c>
      <c r="E50" s="80">
        <f t="shared" si="2"/>
        <v>4640.6400000000003</v>
      </c>
      <c r="F50" s="80">
        <f t="shared" si="3"/>
        <v>65.36</v>
      </c>
      <c r="G50" s="80">
        <f t="shared" si="5"/>
        <v>9313.84</v>
      </c>
      <c r="H50" s="80">
        <f t="shared" si="4"/>
        <v>4673.2</v>
      </c>
      <c r="I50" s="72">
        <f t="shared" si="6"/>
        <v>31</v>
      </c>
      <c r="J50" s="72"/>
    </row>
    <row r="51" spans="1:10" ht="18" customHeight="1" x14ac:dyDescent="0.25">
      <c r="A51" s="76" t="str">
        <f t="shared" si="0"/>
        <v>PENDING</v>
      </c>
      <c r="B51" s="78">
        <v>36</v>
      </c>
      <c r="C51" s="77">
        <f>'MAIN-LEXUS-FAISAL'!H46</f>
        <v>46935</v>
      </c>
      <c r="D51" s="80">
        <f t="shared" si="1"/>
        <v>4706</v>
      </c>
      <c r="E51" s="80">
        <f>G51</f>
        <v>4673.2</v>
      </c>
      <c r="F51" s="80">
        <f>ROUND($E$8-SUM(F16:F50),2)</f>
        <v>32.799999999999997</v>
      </c>
      <c r="G51" s="80">
        <f t="shared" si="5"/>
        <v>4673.2</v>
      </c>
      <c r="H51" s="80">
        <f t="shared" si="4"/>
        <v>0</v>
      </c>
      <c r="I51" s="72">
        <f t="shared" si="6"/>
        <v>30</v>
      </c>
      <c r="J51" s="72"/>
    </row>
    <row r="52" spans="1:10" ht="18" customHeight="1" x14ac:dyDescent="0.25">
      <c r="A52" s="93" t="s">
        <v>118</v>
      </c>
      <c r="B52" s="93"/>
      <c r="C52" s="93"/>
      <c r="D52" s="81">
        <f>SUM(D16:D51)</f>
        <v>169416</v>
      </c>
      <c r="E52" s="81">
        <f>SUM(E16:E51)</f>
        <v>149250</v>
      </c>
      <c r="F52" s="81">
        <f>SUM(F16:F51)</f>
        <v>20166.000000000004</v>
      </c>
      <c r="G52" s="81">
        <f>G16</f>
        <v>149250</v>
      </c>
      <c r="H52" s="81">
        <f>H51</f>
        <v>0</v>
      </c>
      <c r="I52" s="73"/>
      <c r="J52" s="73"/>
    </row>
    <row r="53" spans="1:10" ht="18" customHeight="1" x14ac:dyDescent="0.25">
      <c r="A53" s="69"/>
      <c r="B53" s="69"/>
      <c r="C53" s="69"/>
      <c r="D53" s="69"/>
      <c r="E53" s="69"/>
      <c r="F53" s="69"/>
      <c r="G53" s="69"/>
      <c r="H53" s="69"/>
      <c r="I53" s="69"/>
      <c r="J53" s="69"/>
    </row>
    <row r="54" spans="1:10" ht="18" customHeight="1" x14ac:dyDescent="0.25">
      <c r="A54" s="94" t="s">
        <v>119</v>
      </c>
      <c r="B54" s="94"/>
      <c r="C54" s="94"/>
      <c r="D54" s="94"/>
      <c r="E54" s="74"/>
      <c r="F54" s="74"/>
      <c r="G54" s="69"/>
      <c r="H54" s="69"/>
      <c r="I54" s="69"/>
      <c r="J54" s="69"/>
    </row>
    <row r="55" spans="1:10" ht="21.95" customHeight="1" x14ac:dyDescent="0.25">
      <c r="A55" s="95" t="s">
        <v>120</v>
      </c>
      <c r="B55" s="95"/>
      <c r="C55" s="86">
        <f>$H$7</f>
        <v>12</v>
      </c>
      <c r="D55" s="96" t="s">
        <v>121</v>
      </c>
      <c r="E55" s="97"/>
      <c r="F55" s="98"/>
      <c r="G55" s="69"/>
      <c r="H55" s="69"/>
      <c r="I55" s="69"/>
      <c r="J55" s="69"/>
    </row>
    <row r="56" spans="1:10" ht="21.95" customHeight="1" x14ac:dyDescent="0.25">
      <c r="A56" s="95" t="s">
        <v>122</v>
      </c>
      <c r="B56" s="95"/>
      <c r="C56" s="82">
        <f>$H$9</f>
        <v>56472</v>
      </c>
      <c r="D56" s="99"/>
      <c r="E56" s="100"/>
      <c r="F56" s="101"/>
      <c r="G56" s="69"/>
      <c r="H56" s="69"/>
      <c r="I56" s="69"/>
      <c r="J56" s="69"/>
    </row>
    <row r="57" spans="1:10" ht="21.95" customHeight="1" x14ac:dyDescent="0.25">
      <c r="A57" s="95" t="s">
        <v>123</v>
      </c>
      <c r="B57" s="95"/>
      <c r="C57" s="82">
        <f>INDEX(H16:H51,$H$7)</f>
        <v>103611.69</v>
      </c>
      <c r="D57" s="99"/>
      <c r="E57" s="100"/>
      <c r="F57" s="101"/>
      <c r="G57" s="69"/>
      <c r="H57" s="69"/>
      <c r="I57" s="69"/>
      <c r="J57" s="69"/>
    </row>
    <row r="58" spans="1:10" ht="21.95" customHeight="1" x14ac:dyDescent="0.25">
      <c r="A58" s="95" t="s">
        <v>124</v>
      </c>
      <c r="B58" s="95"/>
      <c r="C58" s="82">
        <f>$H$10</f>
        <v>112944</v>
      </c>
      <c r="D58" s="102"/>
      <c r="E58" s="103"/>
      <c r="F58" s="104"/>
      <c r="G58" s="69"/>
      <c r="H58" s="69"/>
      <c r="I58" s="69"/>
      <c r="J58" s="69"/>
    </row>
  </sheetData>
  <mergeCells count="19">
    <mergeCell ref="A54:D54"/>
    <mergeCell ref="A55:B55"/>
    <mergeCell ref="A56:B56"/>
    <mergeCell ref="A57:B57"/>
    <mergeCell ref="A58:B58"/>
    <mergeCell ref="D55:F55"/>
    <mergeCell ref="D56:F56"/>
    <mergeCell ref="D57:F57"/>
    <mergeCell ref="D58:F58"/>
    <mergeCell ref="B7:C7"/>
    <mergeCell ref="B8:C8"/>
    <mergeCell ref="B9:C9"/>
    <mergeCell ref="A13:J13"/>
    <mergeCell ref="A52:C52"/>
    <mergeCell ref="A1:J1"/>
    <mergeCell ref="A2:J2"/>
    <mergeCell ref="A3:J3"/>
    <mergeCell ref="B5:C5"/>
    <mergeCell ref="B6:C6"/>
  </mergeCells>
  <printOptions horizontalCentered="1"/>
  <pageMargins left="0.25" right="0.25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MAIN-LEXUS-FAISAL</vt:lpstr>
      <vt:lpstr>REPAYMENT-SCHEDULE</vt:lpstr>
      <vt:lpstr>'MAIN-LEXUS-FAISAL'!MLEDGER</vt:lpstr>
      <vt:lpstr>'REPAYMENT-SCHEDULE'!Print_Titles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Govind Bhandari</cp:lastModifiedBy>
  <cp:lastPrinted>2026-07-14T11:38:43Z</cp:lastPrinted>
  <dcterms:modified xsi:type="dcterms:W3CDTF">2026-07-14T11:47:00Z</dcterms:modified>
</cp:coreProperties>
</file>